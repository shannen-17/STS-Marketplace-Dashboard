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ch Weekly" sheetId="1" r:id="rId5"/>
    <sheet state="visible" name="Weekly Cohort" sheetId="2" r:id="rId6"/>
    <sheet state="visible" name="Overall Weekly" sheetId="3" r:id="rId7"/>
    <sheet state="visible" name="Coach Monthly" sheetId="4" r:id="rId8"/>
    <sheet state="visible" name="Overall Revenue" sheetId="5" r:id="rId9"/>
    <sheet state="visible" name="Engagements" sheetId="6" r:id="rId10"/>
    <sheet state="visible" name="SDR" sheetId="7" r:id="rId11"/>
    <sheet state="visible" name="SDR Clarity calls booked" sheetId="8" r:id="rId12"/>
    <sheet state="visible" name="SDR Engagements" sheetId="9" r:id="rId13"/>
  </sheets>
  <definedNames>
    <definedName hidden="1" localSheetId="5" name="_xlnm._FilterDatabase">Engagements!$A$1:$L$45</definedName>
  </definedNames>
  <calcPr/>
</workbook>
</file>

<file path=xl/sharedStrings.xml><?xml version="1.0" encoding="utf-8"?>
<sst xmlns="http://schemas.openxmlformats.org/spreadsheetml/2006/main" count="1329" uniqueCount="324">
  <si>
    <t>Week</t>
  </si>
  <si>
    <t>Coach</t>
  </si>
  <si>
    <t>Leads Given</t>
  </si>
  <si>
    <t>Booked Intro Calls</t>
  </si>
  <si>
    <t>Cancelled Calls</t>
  </si>
  <si>
    <t>No-show Intro Calls</t>
  </si>
  <si>
    <t>Not Found in Zoom</t>
  </si>
  <si>
    <t>Adjusted Intro Calls</t>
  </si>
  <si>
    <t>Engagements Started</t>
  </si>
  <si>
    <t>Paid Engagements</t>
  </si>
  <si>
    <t>Unpaid Engagements</t>
  </si>
  <si>
    <t>Booked Intro Call Rate vs Leads</t>
  </si>
  <si>
    <t>Showed up for Intro Calls</t>
  </si>
  <si>
    <t>Paid Engagement Rate vs Leads</t>
  </si>
  <si>
    <t>Paid Conversion from Intro Call</t>
  </si>
  <si>
    <t>Paid Detail</t>
  </si>
  <si>
    <t>March 18 - March 22</t>
  </si>
  <si>
    <t>Aaron Tremblett</t>
  </si>
  <si>
    <t>Chris Papazis</t>
  </si>
  <si>
    <t>Christine VanMilder Jones</t>
  </si>
  <si>
    <t>Connie Wunderly</t>
  </si>
  <si>
    <t>Karen Altizer</t>
  </si>
  <si>
    <t>Petronya Saurman</t>
  </si>
  <si>
    <t>Steve Sobczak</t>
  </si>
  <si>
    <t>Sue Bowles</t>
  </si>
  <si>
    <t>Sue Sobczak</t>
  </si>
  <si>
    <t>Tiffany L. Johnson</t>
  </si>
  <si>
    <t>Tim Gale</t>
  </si>
  <si>
    <t>March 23 - March 29</t>
  </si>
  <si>
    <t>ryley white: $394 / $394; Troy Blankenship: $394 / $394</t>
  </si>
  <si>
    <t>Gwen Rumberger</t>
  </si>
  <si>
    <t>Stephen Grindle</t>
  </si>
  <si>
    <t>Alex Creevy: $600 / $600; Daren Talbot: $600 / $600; Samuel Anil: $600 / $600</t>
  </si>
  <si>
    <t>March 30 - April 5</t>
  </si>
  <si>
    <t>Daniel Gobin: $150 / $150</t>
  </si>
  <si>
    <t>Areli Lucero: $250 / $250; Brittany Booth: $500 / $500</t>
  </si>
  <si>
    <t>April 6 - April 12</t>
  </si>
  <si>
    <t>Cornelius Friesen: $394 / $394; Jacob Wise: $394 / $394; Matthew Evans: $394 / $394</t>
  </si>
  <si>
    <t>Christine Hunter: $200 / $400; Melissa Jordam: $450 / $450</t>
  </si>
  <si>
    <t>April 13 - April 19</t>
  </si>
  <si>
    <t>Benjamin Hughes: $394 / $394</t>
  </si>
  <si>
    <t>Vanessa Taylor: $150 / $150</t>
  </si>
  <si>
    <t>Angela St.: $1,000 / $1,000; Elizabeth Hunter: $600 / $600</t>
  </si>
  <si>
    <t>Gretchen Delano: $450 / $450; Nicholas Kiriakos: $149 / $149</t>
  </si>
  <si>
    <t>Hyelayuda Andrew: $0 / $40</t>
  </si>
  <si>
    <t>April 20 - April 26</t>
  </si>
  <si>
    <t>Cheryl Roby: $197 / $197</t>
  </si>
  <si>
    <t>Daniel Gaudi: $250 / $250</t>
  </si>
  <si>
    <t>Lloyd Vierra: $598 / $598; Lena Shcherbyuk: $299 / $299</t>
  </si>
  <si>
    <t>Adam Gutermuth: $300 / $300</t>
  </si>
  <si>
    <t>April 27 - May 3</t>
  </si>
  <si>
    <t>Daniel Gobin: $197 / $197</t>
  </si>
  <si>
    <t>Kaelyn Barth: $250 / $250</t>
  </si>
  <si>
    <t>Becky Slater: $549 / $549; Cassi Lara: $299 / $299; Terr Lynn: $0 / $499; Jessica Patch: $150 / $150</t>
  </si>
  <si>
    <t>Brittney smith: $0 / $0; Nate Champion: $299 / $299; Xavier Vallianos: $149 / $149</t>
  </si>
  <si>
    <t>Carole McClure: $350 / $350</t>
  </si>
  <si>
    <t>Christine Jusino: $75 / $75</t>
  </si>
  <si>
    <t>Jerry Haveman: $300 / $300</t>
  </si>
  <si>
    <t>May 4 - May 10</t>
  </si>
  <si>
    <t>Isaak Jensen: $197 / $197; Jason Edgar: $0 / $197; Landon Van: $197 / $197; PETER Kodacsy: $197 / $197</t>
  </si>
  <si>
    <t>Shelli Lucas: $0 / $300</t>
  </si>
  <si>
    <t>Sarah Howden: $0 / $1,000</t>
  </si>
  <si>
    <t>Kyle Jones: $149 / $149; Matt McLean: $149 / $149; Melissa Polesky: $149 / $149</t>
  </si>
  <si>
    <t>Mary Beth: $290 / $290</t>
  </si>
  <si>
    <t>Brittney Neal: $97 / $97; Christine Jusino: $197 / $197; Brittney Neal: $0 / $0</t>
  </si>
  <si>
    <t>May 11 - May 17</t>
  </si>
  <si>
    <t>Jessica Patch: $0 / $599</t>
  </si>
  <si>
    <t>joseph branch: $0 / $149</t>
  </si>
  <si>
    <t>Stephen Mociak: $225 / $225</t>
  </si>
  <si>
    <t>Diana Heflich: $0 / $97; Erica Valenzuela: $97 / $97</t>
  </si>
  <si>
    <t>Lead Week</t>
  </si>
  <si>
    <t>Booked Intro Calls from Lead Cohort</t>
  </si>
  <si>
    <t>Canceled calls from Lead Cohort</t>
  </si>
  <si>
    <t>No-show Intro Calls from Lead Cohort</t>
  </si>
  <si>
    <t>Not Found in Zoom from Lead Cohort</t>
  </si>
  <si>
    <t>Adjusted Intro Calls from Lead Cohort</t>
  </si>
  <si>
    <t>Engagements Started from Lead Cohort</t>
  </si>
  <si>
    <t>Paid Engagements from Lead Cohort</t>
  </si>
  <si>
    <t>Unpaid Engagements from Lead Cohort</t>
  </si>
  <si>
    <t>Ryley White: $394 / $394</t>
  </si>
  <si>
    <t>Alex Creevy: $600 / $600</t>
  </si>
  <si>
    <t>Troy Blankenship: $394 / $394; Daniel Gobin: $150 / $150</t>
  </si>
  <si>
    <t>Daren Talbot: $600 / $600; Samuel Chopade: $600 / $600</t>
  </si>
  <si>
    <t>Matthew Evans: $394 / $394; Jacob Wise: $394 / $394; Cornelius Friesen: $394 / $394</t>
  </si>
  <si>
    <t>Melissa Jordan: $450 / $450; Christine Hunter: $200 / $400</t>
  </si>
  <si>
    <t>Angela St Charles: $1,000 / $1,000; Elizabeth Hunter: $600 / $600</t>
  </si>
  <si>
    <t>Nicholas Kiriakos: $149 / $149</t>
  </si>
  <si>
    <t>Gretchen Delano: $450 / $450; Lloyd V: $598 / $598</t>
  </si>
  <si>
    <t>Jerry Haveman: $300 / $300; Adam Gutermuth: $300 / $300</t>
  </si>
  <si>
    <t>Daniel Gaudi: $250 / $250; Kaelyn Barth: $250 / $250</t>
  </si>
  <si>
    <t>Cassi Lara: $299 / $299</t>
  </si>
  <si>
    <t>Lena Shcherbyuk: $299 / $299; Melissa Polesky: $149 / $149</t>
  </si>
  <si>
    <t>Landon Van Ryn: $197 / $197; Isaak Jensen: $197 / $197</t>
  </si>
  <si>
    <t>Jessica Patch: $150 / $150; Rebecca Slater: $549 / $549</t>
  </si>
  <si>
    <t>Nate Champion: $299 / $299; Xavier Alexander: $149 / $149; Matt McLean: $149 / $149; Kyle Jones: $149 / $149</t>
  </si>
  <si>
    <t>Christine Jusino: $197 / $197; Erica Valenzuela: $97 / $97</t>
  </si>
  <si>
    <t>Peter Kodacsy: $197 / $197</t>
  </si>
  <si>
    <t>Brittney Neal: $97 / $97</t>
  </si>
  <si>
    <t>Unique Leads</t>
  </si>
  <si>
    <t>Intro Call Rate vs Leads</t>
  </si>
  <si>
    <t>Canceled Calls</t>
  </si>
  <si>
    <t>Adjusted Conversion Rate (excluding no-shows)</t>
  </si>
  <si>
    <t>Mar 18 - Mar 22</t>
  </si>
  <si>
    <t>All Coaches</t>
  </si>
  <si>
    <t>Mar 23 - Mar 29</t>
  </si>
  <si>
    <t>Mar 30 - Apr 5</t>
  </si>
  <si>
    <t>Apr 6 - Apr 12</t>
  </si>
  <si>
    <t>Apr 13 - 19</t>
  </si>
  <si>
    <t>Apr 20 - Apr 26</t>
  </si>
  <si>
    <t>Apr 27 - May 3</t>
  </si>
  <si>
    <t>Total</t>
  </si>
  <si>
    <t>All Weeks</t>
  </si>
  <si>
    <t>Ryley White: $394 / $394; Alex Creevy: $600 / $600</t>
  </si>
  <si>
    <t>Troy Blankenship: $394 / $394; Daren Talbot: $600 / $600; Samuel Chopade: $600 / $600; Daniel Gobin: $150 / $150</t>
  </si>
  <si>
    <t>Areli Lucero: $250 / $250; Brittany Booth: $500 / $500; Melissa Jordan: $450 / $450; Christine Hunter: $200 / $400; Matthew Evans: $394 / $394; Jacob Wise: $394 / $394; Cornelius Friesen: $394 / $394</t>
  </si>
  <si>
    <t>Benjamin Hughes: $394 / $394; Nicholas Kiriakos: $149 / $149; Angela St Charles: $1,000 / $1,000; Elizabeth Hunter: $600 / $600; Vanessa Taylor: $150 / $150</t>
  </si>
  <si>
    <t>Gretchen Delano: $450 / $450; Jerry Haveman: $300 / $300; Lloyd V: $598 / $598; Adam Gutermuth: $300 / $300</t>
  </si>
  <si>
    <t>Cheryl Roby: $197 / $197; Daniel Gaudi: $250 / $250; Lena Shcherbyuk: $299 / $299; Melissa Polesky: $149 / $149; Kaelyn Barth: $250 / $250; Cassi Lara: $299 / $299</t>
  </si>
  <si>
    <t>Nate Champion: $299 / $299; Xavier Alexander: $149 / $149; Carole McClure: $350 / $350; Christine Jusino: $197 / $197; Mary Beth: $290 / $290; Landon Van Ryn: $197 / $197; Jessica Patch: $150 / $150; Rebecca Slater: $549 / $549; Erica Valenzuela: $97 / $97; Isaak Jensen: $197 / $197; Matt McLean: $149 / $149; Kyle Jones: $149 / $149</t>
  </si>
  <si>
    <t>Brittney Neal: $97 / $97; Peter Kodacsy: $197 / $197</t>
  </si>
  <si>
    <t>Lead Price</t>
  </si>
  <si>
    <t>Month</t>
  </si>
  <si>
    <t>Canceled calls</t>
  </si>
  <si>
    <t>Showed Up for intro call / leads</t>
  </si>
  <si>
    <t>Paid Engagement Rate / Leads</t>
  </si>
  <si>
    <t>Paid Conversion from intro calls</t>
  </si>
  <si>
    <t>Paid Detail Total</t>
  </si>
  <si>
    <t>Lead Cost</t>
  </si>
  <si>
    <t>Current Take-Home 3 mo</t>
  </si>
  <si>
    <t>Projected Take-Home 3 mo</t>
  </si>
  <si>
    <t>Current Take-Home 6 mo</t>
  </si>
  <si>
    <t>Projected Take-Home 6 mo</t>
  </si>
  <si>
    <t>Current Take-Home 12 mo</t>
  </si>
  <si>
    <t>Projected Take-Home 12 mo</t>
  </si>
  <si>
    <t>Breakeven Months</t>
  </si>
  <si>
    <t>March 18 - March 31</t>
  </si>
  <si>
    <t>April 1 - April 30</t>
  </si>
  <si>
    <t>May 1 - May 17</t>
  </si>
  <si>
    <t>Period</t>
  </si>
  <si>
    <t>March 18 - May 17</t>
  </si>
  <si>
    <t>Engagement Start Date</t>
  </si>
  <si>
    <t>Client</t>
  </si>
  <si>
    <t>Engagement</t>
  </si>
  <si>
    <t>Previous Paid Detail</t>
  </si>
  <si>
    <t>Previous Started</t>
  </si>
  <si>
    <t>Engagement Change Status</t>
  </si>
  <si>
    <t>Paid Status</t>
  </si>
  <si>
    <t>Billed Amount</t>
  </si>
  <si>
    <t>Paid Amount</t>
  </si>
  <si>
    <t>2026-04-22</t>
  </si>
  <si>
    <t>Adam Gutermuth</t>
  </si>
  <si>
    <t>Monthly Coaching Call: 100 minutes per month</t>
  </si>
  <si>
    <t>$300 / $300</t>
  </si>
  <si>
    <t>4/22</t>
  </si>
  <si>
    <t>Unchanged from old current engagement file</t>
  </si>
  <si>
    <t>Paid</t>
  </si>
  <si>
    <t>2026-03-24</t>
  </si>
  <si>
    <t>Alex Creevy</t>
  </si>
  <si>
    <t>$600 / $600</t>
  </si>
  <si>
    <t>3/24</t>
  </si>
  <si>
    <t>2026-03-26</t>
  </si>
  <si>
    <t>Daren Talbot</t>
  </si>
  <si>
    <t>3/26</t>
  </si>
  <si>
    <t>2026-04-28</t>
  </si>
  <si>
    <t>Jerry Haveman</t>
  </si>
  <si>
    <t>4/28</t>
  </si>
  <si>
    <t>2026-04-29</t>
  </si>
  <si>
    <t>Alicia Thomas</t>
  </si>
  <si>
    <t>$0 / $197</t>
  </si>
  <si>
    <t>4/29</t>
  </si>
  <si>
    <t>Unpaid</t>
  </si>
  <si>
    <t>2026-05-05</t>
  </si>
  <si>
    <t>Brittney Neal</t>
  </si>
  <si>
    <t>Monthly Coaching: 50 minutes per month</t>
  </si>
  <si>
    <t>$97 / $97</t>
  </si>
  <si>
    <t>5/5</t>
  </si>
  <si>
    <t>2026-05-04</t>
  </si>
  <si>
    <t>Christine Jusino</t>
  </si>
  <si>
    <t>Monthly Coaching Call: 100 minutes per month (Tiffany)</t>
  </si>
  <si>
    <t>$0 / $0</t>
  </si>
  <si>
    <t>$197 / $197</t>
  </si>
  <si>
    <t>5/4</t>
  </si>
  <si>
    <t>Updated: Paid, Invoices</t>
  </si>
  <si>
    <t>2026-05-14</t>
  </si>
  <si>
    <t>Erica Valenzuela</t>
  </si>
  <si>
    <t>No prior current engagement row</t>
  </si>
  <si>
    <t>Mary Beth</t>
  </si>
  <si>
    <t>Monthly Coaching Call: 100 minutes per month (Sobczak)</t>
  </si>
  <si>
    <t>$290 / $290</t>
  </si>
  <si>
    <t>2026-04-13</t>
  </si>
  <si>
    <t>Hyelayuda Andrew</t>
  </si>
  <si>
    <t>Monthly Coaching: 20 Monthly Minutes (Sue S)</t>
  </si>
  <si>
    <t>$0 / $40</t>
  </si>
  <si>
    <t>Carole McClure</t>
  </si>
  <si>
    <t>Coaching Call 100 Monthly Minutes (Sue B)</t>
  </si>
  <si>
    <t>$350 / $350</t>
  </si>
  <si>
    <t>2026-05-13</t>
  </si>
  <si>
    <t>Stephen Mociak</t>
  </si>
  <si>
    <t>$225 / $225</t>
  </si>
  <si>
    <t>2026-05-08</t>
  </si>
  <si>
    <t>Adrianna Mach</t>
  </si>
  <si>
    <t>5/8</t>
  </si>
  <si>
    <t>2026-04-27</t>
  </si>
  <si>
    <t>Brittney smith</t>
  </si>
  <si>
    <t>Monthly Coaching Membership: 50 minutes per month (Stephen)</t>
  </si>
  <si>
    <t>$0 / $149</t>
  </si>
  <si>
    <t>4/27</t>
  </si>
  <si>
    <t>2026-04-14</t>
  </si>
  <si>
    <t>Gretchen Delano</t>
  </si>
  <si>
    <t>$375 / $375</t>
  </si>
  <si>
    <t>$450 / $450</t>
  </si>
  <si>
    <t>4/14</t>
  </si>
  <si>
    <t>2026-05-07</t>
  </si>
  <si>
    <t>John Downing</t>
  </si>
  <si>
    <t>Monthly Coaching Membership: 100 minutes per month (Stephen)</t>
  </si>
  <si>
    <t>$299 / $299</t>
  </si>
  <si>
    <t>5/7</t>
  </si>
  <si>
    <t>2026-05-12</t>
  </si>
  <si>
    <t>joseph branch</t>
  </si>
  <si>
    <t>Matt McLean</t>
  </si>
  <si>
    <t>$149 / $149</t>
  </si>
  <si>
    <t>Melissa Polesky</t>
  </si>
  <si>
    <t>Nate Champion</t>
  </si>
  <si>
    <t>Monthly Coaching Membership: 200 minutes per month (Stephen)</t>
  </si>
  <si>
    <t>Nicholas Kiriakos</t>
  </si>
  <si>
    <t>2026-04-06</t>
  </si>
  <si>
    <t>Samantha Brown</t>
  </si>
  <si>
    <t>4/6</t>
  </si>
  <si>
    <t>2026-04-30</t>
  </si>
  <si>
    <t>Cassi Lara</t>
  </si>
  <si>
    <t>Monthly Coaching Call: 100 minutes per month (Petronya)</t>
  </si>
  <si>
    <t>4/30</t>
  </si>
  <si>
    <t>Elizabeth Hunter</t>
  </si>
  <si>
    <t>4/13</t>
  </si>
  <si>
    <t>2026-05-03</t>
  </si>
  <si>
    <t>Jessica Patch</t>
  </si>
  <si>
    <t>One-Off, 50-min Session</t>
  </si>
  <si>
    <t>$150 / $150</t>
  </si>
  <si>
    <t>5/3</t>
  </si>
  <si>
    <t>2026-03-31</t>
  </si>
  <si>
    <t>Areli Lucero</t>
  </si>
  <si>
    <t>$250 / $250</t>
  </si>
  <si>
    <t>3/31</t>
  </si>
  <si>
    <t>2026-04-02</t>
  </si>
  <si>
    <t>Brittany Booth</t>
  </si>
  <si>
    <t>Monthly Coaching: 100 Monthly Minutes (Karen)</t>
  </si>
  <si>
    <t>$500 / $500</t>
  </si>
  <si>
    <t>4/2</t>
  </si>
  <si>
    <t>Daniel Gaudi</t>
  </si>
  <si>
    <t>Monthly Coaching Call: 100 minutes per month (Karen)</t>
  </si>
  <si>
    <t>Kaelyn Barth</t>
  </si>
  <si>
    <t>Sarah Howden</t>
  </si>
  <si>
    <t>Monthly Coaching Membership: 240 minutes with Connie</t>
  </si>
  <si>
    <t>$0 / $1,000</t>
  </si>
  <si>
    <t>Christine Hunter</t>
  </si>
  <si>
    <t>Monthly Coaching Call: 100 minutes per month (Christine)</t>
  </si>
  <si>
    <t>$200 / $400</t>
  </si>
  <si>
    <t>2026-05-06</t>
  </si>
  <si>
    <t>Crystal Cao</t>
  </si>
  <si>
    <t>$0 / $300</t>
  </si>
  <si>
    <t>5/6</t>
  </si>
  <si>
    <t>2026-04-19</t>
  </si>
  <si>
    <t>Vanessa Taylor</t>
  </si>
  <si>
    <t>Monthly Coaching Call: 50 minutes per month (Christine)</t>
  </si>
  <si>
    <t>4/19</t>
  </si>
  <si>
    <t>Benjamin Hughes</t>
  </si>
  <si>
    <t>Monthly Coaching Membership: 100 minutes per month</t>
  </si>
  <si>
    <t>$197 / $394</t>
  </si>
  <si>
    <t>2026-04-24</t>
  </si>
  <si>
    <t>Cheryl Roby</t>
  </si>
  <si>
    <t>4/24</t>
  </si>
  <si>
    <t>2026-04-09</t>
  </si>
  <si>
    <t>Cornelius Friesen</t>
  </si>
  <si>
    <t>$394 / $394</t>
  </si>
  <si>
    <t>4/9</t>
  </si>
  <si>
    <t>Updated: Paid</t>
  </si>
  <si>
    <t>2026-05-02</t>
  </si>
  <si>
    <t>Daniel Gobin</t>
  </si>
  <si>
    <t>5/2</t>
  </si>
  <si>
    <t>Isaak Jensen</t>
  </si>
  <si>
    <t>2026-04-07</t>
  </si>
  <si>
    <t>Jacob Wise</t>
  </si>
  <si>
    <t>4/7</t>
  </si>
  <si>
    <t>Jason Edgar</t>
  </si>
  <si>
    <t>Matthew Evans</t>
  </si>
  <si>
    <t>PETER Kodacsy</t>
  </si>
  <si>
    <t>ryley white</t>
  </si>
  <si>
    <t>2026-03-27</t>
  </si>
  <si>
    <t>Troy Blankenship</t>
  </si>
  <si>
    <t>3/27</t>
  </si>
  <si>
    <t>Adrianna Mach: $0 / $197; John Downing: $299 / $299</t>
  </si>
  <si>
    <t>No Show Intro Call (Zoom)</t>
  </si>
  <si>
    <t>Not found Intro Calls in Zoom</t>
  </si>
  <si>
    <t>Adjusted Intros</t>
  </si>
  <si>
    <t>Booked Close Rate</t>
  </si>
  <si>
    <t>Adjusted Close Rate</t>
  </si>
  <si>
    <t>Strict Verified Close Rate</t>
  </si>
  <si>
    <t>Appointment Date</t>
  </si>
  <si>
    <t>Appointment Time</t>
  </si>
  <si>
    <t>Appointment Status</t>
  </si>
  <si>
    <t>Zoom Start</t>
  </si>
  <si>
    <t>07:00 AM</t>
  </si>
  <si>
    <t>Kimberly Watkins</t>
  </si>
  <si>
    <t>11:30 AM</t>
  </si>
  <si>
    <t>Slade</t>
  </si>
  <si>
    <t>Carter Robertson</t>
  </si>
  <si>
    <t>08:00 AM</t>
  </si>
  <si>
    <t>10:00 AM</t>
  </si>
  <si>
    <t>Anita Deeley</t>
  </si>
  <si>
    <t>canceled 5/11 at 4:57am</t>
  </si>
  <si>
    <t>02:00 PM</t>
  </si>
  <si>
    <t>Sean Kirby</t>
  </si>
  <si>
    <t>10:30 AM</t>
  </si>
  <si>
    <t>Ben Barnes</t>
  </si>
  <si>
    <t>01:00 PM</t>
  </si>
  <si>
    <t>Lisa</t>
  </si>
  <si>
    <t>07:30 AM</t>
  </si>
  <si>
    <t>Yaritza Jimenez</t>
  </si>
  <si>
    <t>Dugu Ezekiel</t>
  </si>
  <si>
    <t>11:00 AM</t>
  </si>
  <si>
    <t>Ana Maria</t>
  </si>
  <si>
    <t>01:30 PM</t>
  </si>
  <si>
    <t>Sarah Leung</t>
  </si>
  <si>
    <t>Matched Pre-clarity Form 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</si>
</sst>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$#,##0"/>
    <numFmt numFmtId="166" formatCode="0.0"/>
    <numFmt numFmtId="167" formatCode="yyyy-mm-dd"/>
    <numFmt numFmtId="168" formatCode="M/d/yyyy"/>
    <numFmt numFmtId="169" formatCode="h:mm am/pm"/>
    <numFmt numFmtId="170" formatCode="&quot;$&quot;#,##0"/>
  </numFmts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color rgb="FF1F2937"/>
      <name val="Aptos"/>
    </font>
    <font>
      <sz val="10.0"/>
      <color rgb="FF000000"/>
      <name val="Calibri"/>
    </font>
    <font>
      <b/>
      <color theme="1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BACC6"/>
        <bgColor rgb="FF4BACC6"/>
      </patternFill>
    </fill>
    <fill>
      <patternFill patternType="solid">
        <fgColor rgb="FFC9DAF8"/>
        <bgColor rgb="FFC9DAF8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6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49" xfId="0" applyAlignment="1" applyFont="1" applyNumberForma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horizontal="right" shrinkToFit="0" vertical="top" wrapText="1"/>
    </xf>
    <xf borderId="0" fillId="0" fontId="3" numFmtId="164" xfId="0" applyAlignment="1" applyFont="1" applyNumberFormat="1">
      <alignment horizontal="right" shrinkToFit="0" vertical="top" wrapText="1"/>
    </xf>
    <xf borderId="0" fillId="0" fontId="3" numFmtId="0" xfId="0" applyAlignment="1" applyFont="1">
      <alignment shrinkToFit="0" vertical="top" wrapText="0"/>
    </xf>
    <xf borderId="0" fillId="2" fontId="3" numFmtId="0" xfId="0" applyAlignment="1" applyFill="1" applyFont="1">
      <alignment shrinkToFit="0" vertical="top" wrapText="0"/>
    </xf>
    <xf borderId="0" fillId="2" fontId="3" numFmtId="0" xfId="0" applyAlignment="1" applyFont="1">
      <alignment horizontal="right" shrinkToFit="0" vertical="top" wrapText="0"/>
    </xf>
    <xf borderId="0" fillId="2" fontId="3" numFmtId="164" xfId="0" applyAlignment="1" applyFont="1" applyNumberFormat="1">
      <alignment horizontal="right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3" numFmtId="164" xfId="0" applyAlignment="1" applyFont="1" applyNumberFormat="1">
      <alignment horizontal="right" shrinkToFit="0" vertical="top" wrapText="0"/>
    </xf>
    <xf borderId="0" fillId="2" fontId="3" numFmtId="0" xfId="0" applyAlignment="1" applyFont="1">
      <alignment shrinkToFit="0" vertical="top" wrapText="0"/>
    </xf>
    <xf borderId="0" fillId="0" fontId="3" numFmtId="164" xfId="0" applyAlignment="1" applyFont="1" applyNumberFormat="1">
      <alignment shrinkToFit="0" vertical="top" wrapText="0"/>
    </xf>
    <xf borderId="0" fillId="2" fontId="3" numFmtId="164" xfId="0" applyAlignment="1" applyFont="1" applyNumberFormat="1">
      <alignment shrinkToFit="0" vertical="top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2" fontId="3" numFmtId="164" xfId="0" applyAlignment="1" applyFont="1" applyNumberForma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3" numFmtId="0" xfId="0" applyAlignment="1" applyFont="1">
      <alignment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0" fontId="2" numFmtId="0" xfId="0" applyFont="1"/>
    <xf borderId="0" fillId="0" fontId="1" numFmtId="0" xfId="0" applyAlignment="1" applyFont="1">
      <alignment horizontal="center" readingOrder="0" shrinkToFit="0" vertical="top" wrapText="1"/>
    </xf>
    <xf borderId="0" fillId="0" fontId="1" numFmtId="49" xfId="0" applyAlignment="1" applyFont="1" applyNumberForma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3" numFmtId="1" xfId="0" applyAlignment="1" applyFont="1" applyNumberFormat="1">
      <alignment horizontal="center" shrinkToFit="0" vertical="top" wrapText="0"/>
    </xf>
    <xf borderId="0" fillId="0" fontId="3" numFmtId="164" xfId="0" applyAlignment="1" applyFont="1" applyNumberFormat="1">
      <alignment horizontal="center" shrinkToFit="0" vertical="top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0"/>
    </xf>
    <xf borderId="0" fillId="3" fontId="1" numFmtId="0" xfId="0" applyAlignment="1" applyFill="1" applyFont="1">
      <alignment horizontal="center"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3" fontId="1" numFmtId="1" xfId="0" applyAlignment="1" applyFont="1" applyNumberFormat="1">
      <alignment horizontal="center" shrinkToFit="0" vertical="bottom" wrapText="0"/>
    </xf>
    <xf borderId="0" fillId="3" fontId="1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top" wrapText="0"/>
    </xf>
    <xf borderId="0" fillId="4" fontId="3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horizontal="center" shrinkToFit="0" vertical="top" wrapText="0"/>
    </xf>
    <xf borderId="0" fillId="5" fontId="3" numFmtId="0" xfId="0" applyAlignment="1" applyFill="1" applyFont="1">
      <alignment horizontal="center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ont="1">
      <alignment horizontal="center" readingOrder="0" shrinkToFit="0" vertical="bottom" wrapText="0"/>
    </xf>
    <xf borderId="0" fillId="6" fontId="1" numFmtId="0" xfId="0" applyAlignment="1" applyFont="1">
      <alignment horizontal="center" shrinkToFit="0" vertical="bottom" wrapText="0"/>
    </xf>
    <xf borderId="1" fillId="6" fontId="1" numFmtId="164" xfId="0" applyAlignment="1" applyBorder="1" applyFont="1" applyNumberFormat="1">
      <alignment horizontal="center" shrinkToFit="0" vertical="bottom" wrapText="0"/>
    </xf>
    <xf borderId="2" fillId="6" fontId="1" numFmtId="164" xfId="0" applyAlignment="1" applyBorder="1" applyFont="1" applyNumberFormat="1">
      <alignment horizontal="center" shrinkToFit="0" vertical="bottom" wrapText="0"/>
    </xf>
    <xf borderId="2" fillId="6" fontId="1" numFmtId="1" xfId="0" applyAlignment="1" applyBorder="1" applyFont="1" applyNumberFormat="1">
      <alignment horizontal="center" shrinkToFit="0" vertical="bottom" wrapText="0"/>
    </xf>
    <xf borderId="3" fillId="6" fontId="1" numFmtId="164" xfId="0" applyAlignment="1" applyBorder="1" applyFont="1" applyNumberFormat="1">
      <alignment horizontal="center" shrinkToFit="0" vertical="bottom" wrapText="0"/>
    </xf>
    <xf borderId="0" fillId="6" fontId="1" numFmtId="0" xfId="0" applyAlignment="1" applyFont="1">
      <alignment horizontal="center" shrinkToFit="0" vertical="bottom" wrapText="0"/>
    </xf>
    <xf borderId="0" fillId="7" fontId="3" numFmtId="0" xfId="0" applyAlignment="1" applyFill="1" applyFont="1">
      <alignment shrinkToFit="0" vertical="top" wrapText="1"/>
    </xf>
    <xf borderId="0" fillId="7" fontId="3" numFmtId="165" xfId="0" applyAlignment="1" applyFont="1" applyNumberFormat="1">
      <alignment horizontal="right" readingOrder="0" shrinkToFit="0" vertical="top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165" xfId="0" applyAlignment="1" applyFont="1" applyNumberFormat="1">
      <alignment horizontal="right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5" fontId="5" numFmtId="0" xfId="0" applyAlignment="1" applyFont="1">
      <alignment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5" numFmtId="1" xfId="0" applyAlignment="1" applyFont="1" applyNumberFormat="1">
      <alignment horizontal="center" shrinkToFit="0" vertical="top" wrapText="0"/>
    </xf>
    <xf borderId="0" fillId="0" fontId="5" numFmtId="164" xfId="0" applyAlignment="1" applyFont="1" applyNumberFormat="1">
      <alignment horizontal="center" shrinkToFit="0" vertical="top" wrapText="0"/>
    </xf>
    <xf borderId="0" fillId="0" fontId="5" numFmtId="164" xfId="0" applyAlignment="1" applyFont="1" applyNumberFormat="1">
      <alignment horizontal="center" shrinkToFit="0" vertical="top" wrapText="0"/>
    </xf>
    <xf borderId="0" fillId="0" fontId="5" numFmtId="165" xfId="0" applyAlignment="1" applyFont="1" applyNumberFormat="1">
      <alignment horizontal="center" shrinkToFit="0" vertical="top" wrapText="0"/>
    </xf>
    <xf borderId="0" fillId="0" fontId="5" numFmtId="166" xfId="0" applyAlignment="1" applyFont="1" applyNumberFormat="1">
      <alignment horizontal="center" shrinkToFit="0" vertical="top" wrapText="0"/>
    </xf>
    <xf borderId="0" fillId="8" fontId="5" numFmtId="0" xfId="0" applyAlignment="1" applyFill="1" applyFont="1">
      <alignment readingOrder="0" shrinkToFit="0" vertical="top" wrapText="0"/>
    </xf>
    <xf borderId="0" fillId="8" fontId="5" numFmtId="0" xfId="0" applyAlignment="1" applyFont="1">
      <alignment horizontal="center" shrinkToFit="0" vertical="top" wrapText="0"/>
    </xf>
    <xf borderId="0" fillId="8" fontId="5" numFmtId="1" xfId="0" applyAlignment="1" applyFont="1" applyNumberFormat="1">
      <alignment horizontal="center" shrinkToFit="0" vertical="top" wrapText="0"/>
    </xf>
    <xf borderId="0" fillId="8" fontId="5" numFmtId="164" xfId="0" applyAlignment="1" applyFont="1" applyNumberFormat="1">
      <alignment horizontal="center" shrinkToFit="0" vertical="top" wrapText="0"/>
    </xf>
    <xf borderId="0" fillId="8" fontId="5" numFmtId="165" xfId="0" applyAlignment="1" applyFont="1" applyNumberFormat="1">
      <alignment horizontal="center" shrinkToFit="0" vertical="top" wrapText="0"/>
    </xf>
    <xf borderId="0" fillId="8" fontId="5" numFmtId="166" xfId="0" applyAlignment="1" applyFont="1" applyNumberFormat="1">
      <alignment horizontal="center"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horizontal="left" shrinkToFit="0" vertical="top" wrapText="0"/>
    </xf>
    <xf borderId="0" fillId="7" fontId="5" numFmtId="0" xfId="0" applyAlignment="1" applyFont="1">
      <alignment shrinkToFit="0" vertical="top" wrapText="0"/>
    </xf>
    <xf borderId="0" fillId="7" fontId="5" numFmtId="0" xfId="0" applyAlignment="1" applyFont="1">
      <alignment horizontal="center" readingOrder="0" shrinkToFit="0" vertical="top" wrapText="0"/>
    </xf>
    <xf borderId="0" fillId="7" fontId="5" numFmtId="1" xfId="0" applyAlignment="1" applyFont="1" applyNumberFormat="1">
      <alignment horizontal="center" shrinkToFit="0" vertical="top" wrapText="0"/>
    </xf>
    <xf borderId="0" fillId="7" fontId="5" numFmtId="164" xfId="0" applyAlignment="1" applyFont="1" applyNumberFormat="1">
      <alignment horizontal="center" shrinkToFit="0" vertical="top" wrapText="0"/>
    </xf>
    <xf borderId="0" fillId="7" fontId="5" numFmtId="165" xfId="0" applyAlignment="1" applyFont="1" applyNumberFormat="1">
      <alignment horizontal="center" shrinkToFit="0" vertical="top" wrapText="0"/>
    </xf>
    <xf borderId="0" fillId="7" fontId="5" numFmtId="166" xfId="0" applyAlignment="1" applyFont="1" applyNumberFormat="1">
      <alignment horizontal="center" shrinkToFit="0" vertical="top" wrapText="0"/>
    </xf>
    <xf borderId="0" fillId="9" fontId="5" numFmtId="0" xfId="0" applyAlignment="1" applyFill="1" applyFont="1">
      <alignment shrinkToFit="0" vertical="top" wrapText="0"/>
    </xf>
    <xf borderId="0" fillId="9" fontId="5" numFmtId="0" xfId="0" applyAlignment="1" applyFont="1">
      <alignment horizontal="center" readingOrder="0" shrinkToFit="0" vertical="top" wrapText="0"/>
    </xf>
    <xf borderId="0" fillId="9" fontId="5" numFmtId="1" xfId="0" applyAlignment="1" applyFont="1" applyNumberFormat="1">
      <alignment horizontal="center" shrinkToFit="0" vertical="top" wrapText="0"/>
    </xf>
    <xf borderId="0" fillId="9" fontId="5" numFmtId="164" xfId="0" applyAlignment="1" applyFont="1" applyNumberFormat="1">
      <alignment horizontal="center" shrinkToFit="0" vertical="top" wrapText="0"/>
    </xf>
    <xf borderId="0" fillId="9" fontId="5" numFmtId="165" xfId="0" applyAlignment="1" applyFont="1" applyNumberFormat="1">
      <alignment horizontal="center" shrinkToFit="0" vertical="top" wrapText="0"/>
    </xf>
    <xf borderId="0" fillId="9" fontId="5" numFmtId="166" xfId="0" applyAlignment="1" applyFont="1" applyNumberFormat="1">
      <alignment horizontal="center"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horizontal="center" shrinkToFit="0" vertical="top" wrapText="0"/>
    </xf>
    <xf borderId="0" fillId="0" fontId="5" numFmtId="1" xfId="0" applyAlignment="1" applyFont="1" applyNumberFormat="1">
      <alignment horizontal="center" shrinkToFit="0" vertical="top" wrapText="0"/>
    </xf>
    <xf borderId="0" fillId="10" fontId="3" numFmtId="0" xfId="0" applyAlignment="1" applyFill="1" applyFont="1">
      <alignment shrinkToFit="0" vertical="top" wrapText="0"/>
    </xf>
    <xf borderId="0" fillId="10" fontId="3" numFmtId="165" xfId="0" applyAlignment="1" applyFont="1" applyNumberFormat="1">
      <alignment horizontal="right" shrinkToFit="0" vertical="top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vertical="top" wrapText="0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0" fillId="0" fontId="5" numFmtId="164" xfId="0" applyAlignment="1" applyFont="1" applyNumberFormat="1">
      <alignment shrinkToFit="0" vertical="top" wrapText="0"/>
    </xf>
    <xf borderId="0" fillId="0" fontId="5" numFmtId="165" xfId="0" applyAlignment="1" applyFont="1" applyNumberFormat="1">
      <alignment shrinkToFit="0" vertical="top" wrapText="0"/>
    </xf>
    <xf borderId="0" fillId="0" fontId="5" numFmtId="166" xfId="0" applyAlignment="1" applyFont="1" applyNumberFormat="1">
      <alignment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165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top" wrapText="0"/>
    </xf>
    <xf borderId="0" fillId="0" fontId="3" numFmtId="167" xfId="0" applyAlignment="1" applyFont="1" applyNumberFormat="1">
      <alignment shrinkToFit="0" vertical="top" wrapText="0"/>
    </xf>
    <xf borderId="0" fillId="0" fontId="3" numFmtId="165" xfId="0" applyAlignment="1" applyFont="1" applyNumberFormat="1">
      <alignment horizontal="right" shrinkToFit="0" vertical="top" wrapText="0"/>
    </xf>
    <xf borderId="4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0" fillId="0" fontId="4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shrinkToFit="0" vertical="top" wrapText="0"/>
    </xf>
    <xf borderId="0" fillId="0" fontId="7" numFmtId="164" xfId="0" applyAlignment="1" applyFont="1" applyNumberFormat="1">
      <alignment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10" xfId="0" applyAlignment="1" applyFont="1" applyNumberFormat="1">
      <alignment readingOrder="0" shrinkToFit="0" vertical="top" wrapText="0"/>
    </xf>
    <xf borderId="0" fillId="0" fontId="7" numFmtId="164" xfId="0" applyAlignment="1" applyFont="1" applyNumberFormat="1">
      <alignment readingOrder="0" shrinkToFit="0" vertical="top" wrapText="0"/>
    </xf>
    <xf borderId="0" fillId="0" fontId="2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9" numFmtId="0" xfId="0" applyAlignment="1" applyFont="1">
      <alignment horizontal="right" shrinkToFit="0" vertical="bottom" wrapText="0"/>
    </xf>
    <xf borderId="0" fillId="0" fontId="9" numFmtId="10" xfId="0" applyAlignment="1" applyFont="1" applyNumberFormat="1">
      <alignment readingOrder="0" shrinkToFit="0" vertical="bottom" wrapText="0"/>
    </xf>
    <xf borderId="0" fillId="0" fontId="9" numFmtId="10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4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shrinkToFit="0" vertical="top" wrapText="0"/>
    </xf>
    <xf borderId="0" fillId="0" fontId="7" numFmtId="168" xfId="0" applyAlignment="1" applyFont="1" applyNumberFormat="1">
      <alignment shrinkToFit="0" vertical="top" wrapText="0"/>
    </xf>
    <xf borderId="0" fillId="0" fontId="7" numFmtId="169" xfId="0" applyAlignment="1" applyFont="1" applyNumberFormat="1">
      <alignment shrinkToFit="0" vertical="top" wrapText="0"/>
    </xf>
    <xf borderId="0" fillId="0" fontId="7" numFmtId="0" xfId="0" applyAlignment="1" applyFont="1">
      <alignment horizontal="left" shrinkToFit="0" vertical="top" wrapText="0"/>
    </xf>
    <xf borderId="0" fillId="0" fontId="7" numFmtId="0" xfId="0" applyAlignment="1" applyFont="1">
      <alignment shrinkToFit="0" vertical="top" wrapText="0"/>
    </xf>
    <xf borderId="0" fillId="0" fontId="7" numFmtId="168" xfId="0" applyAlignment="1" applyFont="1" applyNumberFormat="1">
      <alignment shrinkToFit="0" vertical="top" wrapText="0"/>
    </xf>
    <xf borderId="0" fillId="0" fontId="7" numFmtId="169" xfId="0" applyAlignment="1" applyFont="1" applyNumberFormat="1">
      <alignment shrinkToFit="0" vertical="top" wrapText="0"/>
    </xf>
    <xf borderId="0" fillId="0" fontId="7" numFmtId="0" xfId="0" applyAlignment="1" applyFont="1">
      <alignment horizontal="left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167" xfId="0" applyAlignment="1" applyFont="1" applyNumberFormat="1">
      <alignment readingOrder="0" shrinkToFit="0" vertical="top" wrapText="0"/>
    </xf>
    <xf borderId="0" fillId="0" fontId="7" numFmtId="170" xfId="0" applyAlignment="1" applyFont="1" applyNumberFormat="1">
      <alignment readingOrder="0" shrinkToFit="0" vertical="top" wrapText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60B581"/>
          <bgColor rgb="FF60B58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855A00"/>
          <bgColor rgb="FF855A00"/>
        </patternFill>
      </fill>
      <border/>
    </dxf>
    <dxf>
      <font/>
      <fill>
        <patternFill patternType="solid">
          <fgColor rgb="FF603C00"/>
          <bgColor rgb="FF603C00"/>
        </patternFill>
      </fill>
      <border/>
    </dxf>
    <dxf>
      <font/>
      <fill>
        <patternFill patternType="solid">
          <fgColor rgb="FF478E59"/>
          <bgColor rgb="FF478E59"/>
        </patternFill>
      </fill>
      <border/>
    </dxf>
  </dxfs>
  <tableStyles count="11">
    <tableStyle count="4" pivot="0" name="Coach 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ekly Cohort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Overall Weekly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Overall Weekly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oach Monthly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Overall Revenue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Engagements-style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SDR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SDR-style 2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SDR Clarity calls booked-style">
      <tableStyleElement dxfId="11" type="headerRow"/>
      <tableStyleElement dxfId="2" type="firstRowStripe"/>
      <tableStyleElement dxfId="3" type="secondRowStripe"/>
      <tableStyleElement dxfId="4" size="0" type="wholeTable"/>
    </tableStyle>
    <tableStyle count="4" pivot="0" name="SDR Engagements-style">
      <tableStyleElement dxfId="12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23" displayName="Coach_Weekly_2" name="Coach_Weekly_2" id="1">
  <tableColumns count="16">
    <tableColumn name="Week" id="1"/>
    <tableColumn name="Coach" id="2"/>
    <tableColumn name="Leads Given" id="3"/>
    <tableColumn name="Booked Intro Calls" id="4"/>
    <tableColumn name="Cancel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" id="16"/>
  </tableColumns>
  <tableStyleInfo name="Coach Weekly-style" showColumnStripes="0" showFirstColumn="1" showLastColumn="1" showRowStripes="1"/>
</table>
</file>

<file path=xl/tables/table2.xml><?xml version="1.0" encoding="utf-8"?>
<table xmlns="http://schemas.openxmlformats.org/spreadsheetml/2006/main" ref="A1:P119" displayName="Coach_Weekly_Cohort_2" name="Coach_Weekly_Cohort_2" id="2">
  <tableColumns count="16">
    <tableColumn name="Lead Week" id="1"/>
    <tableColumn name="Coach" id="2"/>
    <tableColumn name="Leads Given" id="3"/>
    <tableColumn name="Booked Intro Calls from Lead Cohort" id="4"/>
    <tableColumn name="Canceled calls from Lead Cohort" id="5"/>
    <tableColumn name="No-show Intro Calls from Lead Cohort" id="6"/>
    <tableColumn name="Not Found in Zoom from Lead Cohort" id="7"/>
    <tableColumn name="Adjusted Intro Calls from Lead Cohort" id="8"/>
    <tableColumn name="Engagements Started from Lead Cohort" id="9"/>
    <tableColumn name="Paid Engagements from Lead Cohort" id="10"/>
    <tableColumn name="Unpaid Engagements from Lead Cohort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" id="16"/>
  </tableColumns>
  <tableStyleInfo name="Weekly Cohort-style" showColumnStripes="0" showFirstColumn="1" showLastColumn="1" showRowStripes="1"/>
</table>
</file>

<file path=xl/tables/table3.xml><?xml version="1.0" encoding="utf-8"?>
<table xmlns="http://schemas.openxmlformats.org/spreadsheetml/2006/main" ref="A1:P11" displayName="Overall_Current_Weekly" name="Overall_Current_Weekly" id="3">
  <tableColumns count="16">
    <tableColumn name="Week" id="1"/>
    <tableColumn name="Coach" id="2"/>
    <tableColumn name="Leads Given" id="3"/>
    <tableColumn name="Unique Leads" id="4"/>
    <tableColumn name="Booked Intro Calls" id="5"/>
    <tableColumn name="Intro Call Rate vs Leads" id="6"/>
    <tableColumn name="Canceled Calls" id="7"/>
    <tableColumn name="No-show Intro Calls" id="8"/>
    <tableColumn name="Not Found in Zoom" id="9"/>
    <tableColumn name="Adjusted Intro Calls" id="10"/>
    <tableColumn name="Engagements Started" id="11"/>
    <tableColumn name="Paid Engagements" id="12"/>
    <tableColumn name="Adjusted Conversion Rate (excluding no-shows)" id="13"/>
    <tableColumn name="Paid Engagement Rate vs Leads" id="14"/>
    <tableColumn name="Unpaid Engagements" id="15"/>
    <tableColumn name="Paid Conversion from Intro Call" id="16"/>
  </tableColumns>
  <tableStyleInfo name="Overall Weekly-style" showColumnStripes="0" showFirstColumn="1" showLastColumn="1" showRowStripes="1"/>
</table>
</file>

<file path=xl/tables/table4.xml><?xml version="1.0" encoding="utf-8"?>
<table xmlns="http://schemas.openxmlformats.org/spreadsheetml/2006/main" ref="A14:Q24" displayName="Overall_Weekly_Cohort" name="Overall_Weekly_Cohort" id="4">
  <tableColumns count="17">
    <tableColumn name="Lead Week" id="1"/>
    <tableColumn name="Coach" id="2"/>
    <tableColumn name="Leads Given" id="3"/>
    <tableColumn name="Unique Leads" id="4"/>
    <tableColumn name="Booked Intro Calls from Lead Cohort" id="5"/>
    <tableColumn name="Booked Intro Call Rate vs Leads" id="6"/>
    <tableColumn name="Canceled calls from Lead Cohort" id="7"/>
    <tableColumn name="No-show Intro Calls from Lead Cohort" id="8"/>
    <tableColumn name="Not Found in Zoom from Lead Cohort" id="9"/>
    <tableColumn name="Adjusted Intro Calls from Lead Cohort" id="10"/>
    <tableColumn name="Engagements Started from Lead Cohort" id="11"/>
    <tableColumn name="Paid Engagements from Lead Cohort" id="12"/>
    <tableColumn name="Showed up for Intro Calls" id="13"/>
    <tableColumn name="Paid Engagement Rate vs Leads" id="14"/>
    <tableColumn name="Unpaid Engagements from Lead Cohort" id="15"/>
    <tableColumn name="Paid Conversion from Intro Call" id="16"/>
    <tableColumn name="Paid Detail" id="17"/>
  </tableColumns>
  <tableStyleInfo name="Overall Weekly-style 2" showColumnStripes="0" showFirstColumn="1" showLastColumn="1" showRowStripes="1"/>
</table>
</file>

<file path=xl/tables/table5.xml><?xml version="1.0" encoding="utf-8"?>
<table xmlns="http://schemas.openxmlformats.org/spreadsheetml/2006/main" ref="A3:X45" displayName="Coach_Monthly" name="Coach_Monthly" id="5">
  <tableColumns count="24">
    <tableColumn name="Month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 / leads" id="13"/>
    <tableColumn name="Paid Engagement Rate / Leads" id="14"/>
    <tableColumn name="Paid Conversion from intro calls" id="15"/>
    <tableColumn name="Paid Detail Total" id="16"/>
    <tableColumn name="Lead Cost" id="17"/>
    <tableColumn name="Current Take-Home 3 mo" id="18"/>
    <tableColumn name="Projected Take-Home 3 mo" id="19"/>
    <tableColumn name="Current Take-Home 6 mo" id="20"/>
    <tableColumn name="Projected Take-Home 6 mo" id="21"/>
    <tableColumn name="Current Take-Home 12 mo" id="22"/>
    <tableColumn name="Projected Take-Home 12 mo" id="23"/>
    <tableColumn name="Breakeven Months" id="24"/>
  </tableColumns>
  <tableStyleInfo name="Coach Monthly-style" showColumnStripes="0" showFirstColumn="1" showLastColumn="1" showRowStripes="1"/>
</table>
</file>

<file path=xl/tables/table6.xml><?xml version="1.0" encoding="utf-8"?>
<table xmlns="http://schemas.openxmlformats.org/spreadsheetml/2006/main" ref="A3:X17" displayName="All_Time_Overall" name="All_Time_Overall" id="6">
  <tableColumns count="24">
    <tableColumn name="Period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 Total" id="16"/>
    <tableColumn name="Lead Cost" id="17"/>
    <tableColumn name="Current Take-Home 3 mo" id="18"/>
    <tableColumn name="Projected Take-Home 3 mo" id="19"/>
    <tableColumn name="Current Take-Home 6 mo" id="20"/>
    <tableColumn name="Projected Take-Home 6 mo" id="21"/>
    <tableColumn name="Current Take-Home 12 mo" id="22"/>
    <tableColumn name="Projected Take-Home 12 mo" id="23"/>
    <tableColumn name="Breakeven Months" id="24"/>
  </tableColumns>
  <tableStyleInfo name="Overall Revenue-style" showColumnStripes="0" showFirstColumn="1" showLastColumn="1" showRowStripes="1"/>
</table>
</file>

<file path=xl/tables/table7.xml><?xml version="1.0" encoding="utf-8"?>
<table xmlns="http://schemas.openxmlformats.org/spreadsheetml/2006/main" ref="A1:L45" displayName="Matched_Engagements" name="Matched_Engagements" id="7">
  <autoFilter ref="$A$1:$L$45"/>
  <tableColumns count="12">
    <tableColumn name="Week" id="1"/>
    <tableColumn name="Engagement Start Date" id="2"/>
    <tableColumn name="Coach" id="3"/>
    <tableColumn name="Client" id="4"/>
    <tableColumn name="Engagement" id="5"/>
    <tableColumn name="Previous Paid Detail" id="6"/>
    <tableColumn name="Paid Detail" id="7"/>
    <tableColumn name="Previous Started" id="8"/>
    <tableColumn name="Engagement Change Status" id="9"/>
    <tableColumn name="Paid Status" id="10"/>
    <tableColumn name="Billed Amount" id="11"/>
    <tableColumn name="Paid Amount" id="12"/>
  </tableColumns>
  <tableStyleInfo name="Engagements-style" showColumnStripes="0" showFirstColumn="1" showLastColumn="1" showRowStripes="1"/>
</table>
</file>

<file path=xl/tables/table8.xml><?xml version="1.0" encoding="utf-8"?>
<table xmlns="http://schemas.openxmlformats.org/spreadsheetml/2006/main" ref="A1:P4" displayName="Clarity_call_weekly" name="Clarity_call_weekly" id="8">
  <tableColumns count="16">
    <tableColumn name="Week" id="1"/>
    <tableColumn name="Coach" id="2"/>
    <tableColumn name="Leads Given" id="3"/>
    <tableColumn name="Booked Intro Calls" id="4"/>
    <tableColumn name="Canceled calls" id="5"/>
    <tableColumn name="No-show Intro Calls" id="6"/>
    <tableColumn name="Not Found in Zoom" id="7"/>
    <tableColumn name="Adjusted Intro Calls" id="8"/>
    <tableColumn name="Engagements Started" id="9"/>
    <tableColumn name="Paid Engagements" id="10"/>
    <tableColumn name="Unpaid Engagements" id="11"/>
    <tableColumn name="Booked Intro Call Rate vs Leads" id="12"/>
    <tableColumn name="Showed up for Intro Calls" id="13"/>
    <tableColumn name="Paid Engagement Rate vs Leads" id="14"/>
    <tableColumn name="Paid Conversion from Intro Call" id="15"/>
    <tableColumn name="Paid Detail" id="16"/>
  </tableColumns>
  <tableStyleInfo name="SDR-style" showColumnStripes="0" showFirstColumn="1" showLastColumn="1" showRowStripes="1"/>
</table>
</file>

<file path=xl/tables/table9.xml><?xml version="1.0" encoding="utf-8"?>
<table xmlns="http://schemas.openxmlformats.org/spreadsheetml/2006/main" ref="L118:R134" displayName="Adjusted" name="Adjusted" id="9">
  <tableColumns count="7">
    <tableColumn name="No Show Intro Call (Zoom)" id="1"/>
    <tableColumn name="Not found Intro Calls in Zoom" id="2"/>
    <tableColumn name="Adjusted Intros" id="3"/>
    <tableColumn name="Paid Engagements" id="4"/>
    <tableColumn name="Booked Close Rate" id="5"/>
    <tableColumn name="Adjusted Close Rate" id="6"/>
    <tableColumn name="Strict Verified Close Rate" id="7"/>
  </tableColumns>
  <tableStyleInfo name="SDR-style 2" showColumnStripes="0" showFirstColumn="1" showLastColumn="1" showRowStripes="1"/>
</table>
</file>

<file path=xl/tables/table10.xml><?xml version="1.0" encoding="utf-8"?>
<table xmlns="http://schemas.openxmlformats.org/spreadsheetml/2006/main" ref="A1:G14" displayName="SDR_Clarity_call_booked" name="SDR_Clarity_call_booked" id="10">
  <tableColumns count="7">
    <tableColumn name="Week" id="1"/>
    <tableColumn name="Appointment Date" id="2"/>
    <tableColumn name="Appointment Time" id="3"/>
    <tableColumn name="Coach" id="4"/>
    <tableColumn name="Client" id="5"/>
    <tableColumn name="Appointment Status" id="6"/>
    <tableColumn name="Zoom Start" id="7"/>
  </tableColumns>
  <tableStyleInfo name="SDR Clarity calls booked-style" showColumnStripes="0" showFirstColumn="1" showLastColumn="1" showRowStripes="1"/>
</table>
</file>

<file path=xl/tables/table11.xml><?xml version="1.0" encoding="utf-8"?>
<table xmlns="http://schemas.openxmlformats.org/spreadsheetml/2006/main" ref="A1:J3" displayName="SDR_engagments" name="SDR_engagments" id="11">
  <tableColumns count="10">
    <tableColumn name="Week" id="1"/>
    <tableColumn name="Engagement Start Date" id="2"/>
    <tableColumn name="Coach" id="3"/>
    <tableColumn name="Client" id="4"/>
    <tableColumn name="Matched Pre-clarity Form Client" id="5"/>
    <tableColumn name="Engagement" id="6"/>
    <tableColumn name="Paid Detail" id="7"/>
    <tableColumn name="Paid Amount" id="8"/>
    <tableColumn name="Billed Amount" id="9"/>
    <tableColumn name="Paid Status" id="10"/>
  </tableColumns>
  <tableStyleInfo name="SDR Engage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5.63"/>
    <col customWidth="1" min="12" max="12" width="14.88"/>
    <col customWidth="1" min="13" max="13" width="18.13"/>
    <col customWidth="1" min="14" max="1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16</v>
      </c>
      <c r="B2" s="5" t="s">
        <v>17</v>
      </c>
      <c r="C2" s="6">
        <v>3.0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7">
        <v>0.0</v>
      </c>
      <c r="M2" s="7">
        <v>0.0</v>
      </c>
      <c r="N2" s="7">
        <v>0.0</v>
      </c>
      <c r="O2" s="7">
        <v>0.0</v>
      </c>
      <c r="P2" s="8"/>
    </row>
    <row r="3">
      <c r="A3" s="5" t="s">
        <v>16</v>
      </c>
      <c r="B3" s="5" t="s">
        <v>18</v>
      </c>
      <c r="C3" s="6">
        <v>5.0</v>
      </c>
      <c r="D3" s="6">
        <v>2.0</v>
      </c>
      <c r="E3" s="6">
        <v>0.0</v>
      </c>
      <c r="F3" s="6">
        <v>1.0</v>
      </c>
      <c r="G3" s="6">
        <v>0.0</v>
      </c>
      <c r="H3" s="6">
        <v>1.0</v>
      </c>
      <c r="I3" s="6">
        <v>0.0</v>
      </c>
      <c r="J3" s="6">
        <v>0.0</v>
      </c>
      <c r="K3" s="6">
        <v>0.0</v>
      </c>
      <c r="L3" s="7">
        <v>0.4</v>
      </c>
      <c r="M3" s="7">
        <v>0.2</v>
      </c>
      <c r="N3" s="7">
        <v>0.0</v>
      </c>
      <c r="O3" s="7">
        <v>0.0</v>
      </c>
      <c r="P3" s="8"/>
    </row>
    <row r="4">
      <c r="A4" s="5" t="s">
        <v>16</v>
      </c>
      <c r="B4" s="5" t="s">
        <v>19</v>
      </c>
      <c r="C4" s="6">
        <v>20.0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7">
        <v>0.0</v>
      </c>
      <c r="M4" s="7">
        <v>0.0</v>
      </c>
      <c r="N4" s="7">
        <v>0.0</v>
      </c>
      <c r="O4" s="7">
        <v>0.0</v>
      </c>
      <c r="P4" s="8"/>
    </row>
    <row r="5">
      <c r="A5" s="5" t="s">
        <v>16</v>
      </c>
      <c r="B5" s="5" t="s">
        <v>20</v>
      </c>
      <c r="C5" s="6">
        <v>7.0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7">
        <v>0.0</v>
      </c>
      <c r="M5" s="7">
        <v>0.0</v>
      </c>
      <c r="N5" s="7">
        <v>0.0</v>
      </c>
      <c r="O5" s="7">
        <v>0.0</v>
      </c>
      <c r="P5" s="8"/>
    </row>
    <row r="6">
      <c r="A6" s="5" t="s">
        <v>16</v>
      </c>
      <c r="B6" s="5" t="s">
        <v>21</v>
      </c>
      <c r="C6" s="6">
        <v>14.0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7">
        <v>0.0</v>
      </c>
      <c r="M6" s="7">
        <v>0.0</v>
      </c>
      <c r="N6" s="7">
        <v>0.0</v>
      </c>
      <c r="O6" s="7">
        <v>0.0</v>
      </c>
      <c r="P6" s="8"/>
    </row>
    <row r="7">
      <c r="A7" s="5" t="s">
        <v>16</v>
      </c>
      <c r="B7" s="5" t="s">
        <v>22</v>
      </c>
      <c r="C7" s="6">
        <v>9.0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7">
        <v>0.0</v>
      </c>
      <c r="M7" s="7">
        <v>0.0</v>
      </c>
      <c r="N7" s="7">
        <v>0.0</v>
      </c>
      <c r="O7" s="7">
        <v>0.0</v>
      </c>
      <c r="P7" s="8"/>
    </row>
    <row r="8">
      <c r="A8" s="5" t="s">
        <v>16</v>
      </c>
      <c r="B8" s="5" t="s">
        <v>23</v>
      </c>
      <c r="C8" s="6">
        <v>4.0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7">
        <v>0.0</v>
      </c>
      <c r="M8" s="7">
        <v>0.0</v>
      </c>
      <c r="N8" s="7">
        <v>0.0</v>
      </c>
      <c r="O8" s="7">
        <v>0.0</v>
      </c>
      <c r="P8" s="8"/>
    </row>
    <row r="9">
      <c r="A9" s="5" t="s">
        <v>16</v>
      </c>
      <c r="B9" s="5" t="s">
        <v>24</v>
      </c>
      <c r="C9" s="6">
        <v>2.0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7">
        <v>0.0</v>
      </c>
      <c r="M9" s="7">
        <v>0.0</v>
      </c>
      <c r="N9" s="7">
        <v>0.0</v>
      </c>
      <c r="O9" s="7">
        <v>0.0</v>
      </c>
      <c r="P9" s="8"/>
    </row>
    <row r="10">
      <c r="A10" s="5" t="s">
        <v>16</v>
      </c>
      <c r="B10" s="5" t="s">
        <v>25</v>
      </c>
      <c r="C10" s="6">
        <v>10.0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7">
        <v>0.0</v>
      </c>
      <c r="M10" s="7">
        <v>0.0</v>
      </c>
      <c r="N10" s="7">
        <v>0.0</v>
      </c>
      <c r="O10" s="7">
        <v>0.0</v>
      </c>
      <c r="P10" s="8"/>
    </row>
    <row r="11">
      <c r="A11" s="5" t="s">
        <v>16</v>
      </c>
      <c r="B11" s="5" t="s">
        <v>26</v>
      </c>
      <c r="C11" s="6">
        <v>5.0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7">
        <v>0.0</v>
      </c>
      <c r="M11" s="7">
        <v>0.0</v>
      </c>
      <c r="N11" s="7">
        <v>0.0</v>
      </c>
      <c r="O11" s="7">
        <v>0.0</v>
      </c>
      <c r="P11" s="8"/>
    </row>
    <row r="12">
      <c r="A12" s="5" t="s">
        <v>16</v>
      </c>
      <c r="B12" s="5" t="s">
        <v>27</v>
      </c>
      <c r="C12" s="6">
        <v>19.0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7">
        <v>0.0</v>
      </c>
      <c r="M12" s="7">
        <v>0.0</v>
      </c>
      <c r="N12" s="7">
        <v>0.0</v>
      </c>
      <c r="O12" s="7">
        <v>0.0</v>
      </c>
      <c r="P12" s="8"/>
    </row>
    <row r="13">
      <c r="A13" s="9"/>
      <c r="B13" s="9"/>
      <c r="C13" s="10">
        <f t="shared" ref="C13:K13" si="1">SUM(C2:C12)</f>
        <v>98</v>
      </c>
      <c r="D13" s="10">
        <f t="shared" si="1"/>
        <v>2</v>
      </c>
      <c r="E13" s="10">
        <f t="shared" si="1"/>
        <v>0</v>
      </c>
      <c r="F13" s="10">
        <f t="shared" si="1"/>
        <v>1</v>
      </c>
      <c r="G13" s="10">
        <f t="shared" si="1"/>
        <v>0</v>
      </c>
      <c r="H13" s="10">
        <f t="shared" si="1"/>
        <v>1</v>
      </c>
      <c r="I13" s="10">
        <f t="shared" si="1"/>
        <v>0</v>
      </c>
      <c r="J13" s="10">
        <f t="shared" si="1"/>
        <v>0</v>
      </c>
      <c r="K13" s="10">
        <f t="shared" si="1"/>
        <v>0</v>
      </c>
      <c r="L13" s="11">
        <f t="shared" ref="L13:O13" si="2">AVERAGE(L2:L12)</f>
        <v>0.03636363636</v>
      </c>
      <c r="M13" s="11">
        <f t="shared" si="2"/>
        <v>0.01818181818</v>
      </c>
      <c r="N13" s="11">
        <f t="shared" si="2"/>
        <v>0</v>
      </c>
      <c r="O13" s="11">
        <f t="shared" si="2"/>
        <v>0</v>
      </c>
      <c r="P13" s="10"/>
    </row>
    <row r="14">
      <c r="A14" s="5" t="s">
        <v>28</v>
      </c>
      <c r="B14" s="5" t="s">
        <v>17</v>
      </c>
      <c r="C14" s="12">
        <v>5.0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3">
        <v>0.0</v>
      </c>
      <c r="M14" s="13">
        <v>0.0</v>
      </c>
      <c r="N14" s="13">
        <v>0.0</v>
      </c>
      <c r="O14" s="13">
        <v>0.0</v>
      </c>
      <c r="P14" s="8"/>
    </row>
    <row r="15" ht="24.0" customHeight="1">
      <c r="A15" s="5" t="s">
        <v>28</v>
      </c>
      <c r="B15" s="5" t="s">
        <v>18</v>
      </c>
      <c r="C15" s="12">
        <v>9.0</v>
      </c>
      <c r="D15" s="12">
        <v>7.0</v>
      </c>
      <c r="E15" s="12">
        <v>0.0</v>
      </c>
      <c r="F15" s="12">
        <v>4.0</v>
      </c>
      <c r="G15" s="12">
        <v>0.0</v>
      </c>
      <c r="H15" s="12">
        <v>3.0</v>
      </c>
      <c r="I15" s="12">
        <v>2.0</v>
      </c>
      <c r="J15" s="12">
        <v>2.0</v>
      </c>
      <c r="K15" s="12">
        <v>0.0</v>
      </c>
      <c r="L15" s="13">
        <v>0.7777777777777778</v>
      </c>
      <c r="M15" s="13">
        <v>0.3333333333333333</v>
      </c>
      <c r="N15" s="13">
        <v>0.2222222222222222</v>
      </c>
      <c r="O15" s="13">
        <v>0.6666666666666666</v>
      </c>
      <c r="P15" s="8" t="s">
        <v>29</v>
      </c>
    </row>
    <row r="16">
      <c r="A16" s="5" t="s">
        <v>28</v>
      </c>
      <c r="B16" s="5" t="s">
        <v>19</v>
      </c>
      <c r="C16" s="12">
        <v>23.0</v>
      </c>
      <c r="D16" s="12">
        <v>2.0</v>
      </c>
      <c r="E16" s="12">
        <v>0.0</v>
      </c>
      <c r="F16" s="12">
        <v>1.0</v>
      </c>
      <c r="G16" s="12">
        <v>0.0</v>
      </c>
      <c r="H16" s="12">
        <v>1.0</v>
      </c>
      <c r="I16" s="12">
        <v>0.0</v>
      </c>
      <c r="J16" s="12">
        <v>0.0</v>
      </c>
      <c r="K16" s="12">
        <v>0.0</v>
      </c>
      <c r="L16" s="13">
        <v>0.08695652173913043</v>
      </c>
      <c r="M16" s="13">
        <v>0.04347826086956522</v>
      </c>
      <c r="N16" s="13">
        <v>0.0</v>
      </c>
      <c r="O16" s="13">
        <v>0.0</v>
      </c>
      <c r="P16" s="8"/>
    </row>
    <row r="17">
      <c r="A17" s="5" t="s">
        <v>28</v>
      </c>
      <c r="B17" s="5" t="s">
        <v>20</v>
      </c>
      <c r="C17" s="12">
        <v>13.0</v>
      </c>
      <c r="D17" s="12">
        <v>1.0</v>
      </c>
      <c r="E17" s="12">
        <v>0.0</v>
      </c>
      <c r="F17" s="12">
        <v>0.0</v>
      </c>
      <c r="G17" s="12">
        <v>1.0</v>
      </c>
      <c r="H17" s="12">
        <v>1.0</v>
      </c>
      <c r="I17" s="12">
        <v>0.0</v>
      </c>
      <c r="J17" s="12">
        <v>0.0</v>
      </c>
      <c r="K17" s="12">
        <v>0.0</v>
      </c>
      <c r="L17" s="13">
        <v>0.07692307692307693</v>
      </c>
      <c r="M17" s="13">
        <v>0.07692307692307693</v>
      </c>
      <c r="N17" s="13">
        <v>0.0</v>
      </c>
      <c r="O17" s="13">
        <v>0.0</v>
      </c>
      <c r="P17" s="8"/>
    </row>
    <row r="18">
      <c r="A18" s="5" t="s">
        <v>28</v>
      </c>
      <c r="B18" s="5" t="s">
        <v>30</v>
      </c>
      <c r="C18" s="12">
        <v>3.0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3">
        <v>0.0</v>
      </c>
      <c r="M18" s="13">
        <v>0.0</v>
      </c>
      <c r="N18" s="13">
        <v>0.0</v>
      </c>
      <c r="O18" s="13">
        <v>0.0</v>
      </c>
      <c r="P18" s="8"/>
    </row>
    <row r="19">
      <c r="A19" s="5" t="s">
        <v>28</v>
      </c>
      <c r="B19" s="5" t="s">
        <v>21</v>
      </c>
      <c r="C19" s="12">
        <v>12.0</v>
      </c>
      <c r="D19" s="12">
        <v>4.0</v>
      </c>
      <c r="E19" s="12">
        <v>2.0</v>
      </c>
      <c r="F19" s="12">
        <v>2.0</v>
      </c>
      <c r="G19" s="12">
        <v>0.0</v>
      </c>
      <c r="H19" s="12">
        <v>2.0</v>
      </c>
      <c r="I19" s="12">
        <v>0.0</v>
      </c>
      <c r="J19" s="12">
        <v>0.0</v>
      </c>
      <c r="K19" s="12">
        <v>0.0</v>
      </c>
      <c r="L19" s="13">
        <v>0.3333333333333333</v>
      </c>
      <c r="M19" s="13">
        <v>0.1666666666666667</v>
      </c>
      <c r="N19" s="13">
        <v>0.0</v>
      </c>
      <c r="O19" s="13">
        <v>0.0</v>
      </c>
      <c r="P19" s="8"/>
    </row>
    <row r="20">
      <c r="A20" s="5" t="s">
        <v>28</v>
      </c>
      <c r="B20" s="5" t="s">
        <v>22</v>
      </c>
      <c r="C20" s="12">
        <v>7.0</v>
      </c>
      <c r="D20" s="12">
        <v>2.0</v>
      </c>
      <c r="E20" s="12">
        <v>0.0</v>
      </c>
      <c r="F20" s="12">
        <v>1.0</v>
      </c>
      <c r="G20" s="12">
        <v>0.0</v>
      </c>
      <c r="H20" s="12">
        <v>1.0</v>
      </c>
      <c r="I20" s="12">
        <v>0.0</v>
      </c>
      <c r="J20" s="12">
        <v>0.0</v>
      </c>
      <c r="K20" s="12">
        <v>0.0</v>
      </c>
      <c r="L20" s="13">
        <v>0.2857142857142857</v>
      </c>
      <c r="M20" s="13">
        <v>0.1428571428571428</v>
      </c>
      <c r="N20" s="13">
        <v>0.0</v>
      </c>
      <c r="O20" s="13">
        <v>0.0</v>
      </c>
      <c r="P20" s="8"/>
    </row>
    <row r="21">
      <c r="A21" s="5" t="s">
        <v>28</v>
      </c>
      <c r="B21" s="5" t="s">
        <v>31</v>
      </c>
      <c r="C21" s="12">
        <v>8.0</v>
      </c>
      <c r="D21" s="12">
        <v>1.0</v>
      </c>
      <c r="E21" s="12">
        <v>0.0</v>
      </c>
      <c r="F21" s="12">
        <v>0.0</v>
      </c>
      <c r="G21" s="12">
        <v>0.0</v>
      </c>
      <c r="H21" s="12">
        <v>1.0</v>
      </c>
      <c r="I21" s="12">
        <v>0.0</v>
      </c>
      <c r="J21" s="12">
        <v>0.0</v>
      </c>
      <c r="K21" s="12">
        <v>0.0</v>
      </c>
      <c r="L21" s="13">
        <v>0.125</v>
      </c>
      <c r="M21" s="13">
        <v>0.125</v>
      </c>
      <c r="N21" s="13">
        <v>0.0</v>
      </c>
      <c r="O21" s="13">
        <v>0.0</v>
      </c>
      <c r="P21" s="8"/>
    </row>
    <row r="22">
      <c r="A22" s="5" t="s">
        <v>28</v>
      </c>
      <c r="B22" s="5" t="s">
        <v>23</v>
      </c>
      <c r="C22" s="12">
        <v>1.0</v>
      </c>
      <c r="D22" s="12">
        <v>1.0</v>
      </c>
      <c r="E22" s="12">
        <v>0.0</v>
      </c>
      <c r="F22" s="12">
        <v>1.0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3">
        <v>1.0</v>
      </c>
      <c r="M22" s="13">
        <v>0.0</v>
      </c>
      <c r="N22" s="13">
        <v>0.0</v>
      </c>
      <c r="O22" s="13">
        <v>0.0</v>
      </c>
      <c r="P22" s="8"/>
    </row>
    <row r="23">
      <c r="A23" s="5" t="s">
        <v>28</v>
      </c>
      <c r="B23" s="5" t="s">
        <v>24</v>
      </c>
      <c r="C23" s="12">
        <v>1.0</v>
      </c>
      <c r="D23" s="12">
        <v>1.0</v>
      </c>
      <c r="E23" s="12">
        <v>0.0</v>
      </c>
      <c r="F23" s="12">
        <v>0.0</v>
      </c>
      <c r="G23" s="12">
        <v>0.0</v>
      </c>
      <c r="H23" s="12">
        <v>1.0</v>
      </c>
      <c r="I23" s="12">
        <v>0.0</v>
      </c>
      <c r="J23" s="12">
        <v>0.0</v>
      </c>
      <c r="K23" s="12">
        <v>0.0</v>
      </c>
      <c r="L23" s="13">
        <v>1.0</v>
      </c>
      <c r="M23" s="13">
        <v>1.0</v>
      </c>
      <c r="N23" s="13">
        <v>0.0</v>
      </c>
      <c r="O23" s="13">
        <v>0.0</v>
      </c>
      <c r="P23" s="8"/>
    </row>
    <row r="24">
      <c r="A24" s="5" t="s">
        <v>28</v>
      </c>
      <c r="B24" s="5" t="s">
        <v>25</v>
      </c>
      <c r="C24" s="12">
        <v>15.0</v>
      </c>
      <c r="D24" s="12">
        <v>3.0</v>
      </c>
      <c r="E24" s="12">
        <v>0.0</v>
      </c>
      <c r="F24" s="12">
        <v>2.0</v>
      </c>
      <c r="G24" s="12">
        <v>0.0</v>
      </c>
      <c r="H24" s="12">
        <v>1.0</v>
      </c>
      <c r="I24" s="12">
        <v>0.0</v>
      </c>
      <c r="J24" s="12">
        <v>0.0</v>
      </c>
      <c r="K24" s="12">
        <v>0.0</v>
      </c>
      <c r="L24" s="13">
        <v>0.2</v>
      </c>
      <c r="M24" s="13">
        <v>0.06666666666666667</v>
      </c>
      <c r="N24" s="13">
        <v>0.0</v>
      </c>
      <c r="O24" s="13">
        <v>0.0</v>
      </c>
      <c r="P24" s="8"/>
    </row>
    <row r="25">
      <c r="A25" s="5" t="s">
        <v>28</v>
      </c>
      <c r="B25" s="5" t="s">
        <v>26</v>
      </c>
      <c r="C25" s="12">
        <v>6.0</v>
      </c>
      <c r="D25" s="12">
        <v>1.0</v>
      </c>
      <c r="E25" s="12">
        <v>0.0</v>
      </c>
      <c r="F25" s="12">
        <v>0.0</v>
      </c>
      <c r="G25" s="12">
        <v>0.0</v>
      </c>
      <c r="H25" s="12">
        <v>1.0</v>
      </c>
      <c r="I25" s="12">
        <v>0.0</v>
      </c>
      <c r="J25" s="12">
        <v>0.0</v>
      </c>
      <c r="K25" s="12">
        <v>0.0</v>
      </c>
      <c r="L25" s="13">
        <v>0.1666666666666667</v>
      </c>
      <c r="M25" s="13">
        <v>0.1666666666666667</v>
      </c>
      <c r="N25" s="13">
        <v>0.0</v>
      </c>
      <c r="O25" s="13">
        <v>0.0</v>
      </c>
      <c r="P25" s="8"/>
    </row>
    <row r="26">
      <c r="A26" s="5" t="s">
        <v>28</v>
      </c>
      <c r="B26" s="5" t="s">
        <v>27</v>
      </c>
      <c r="C26" s="12">
        <v>24.0</v>
      </c>
      <c r="D26" s="12">
        <v>11.0</v>
      </c>
      <c r="E26" s="12">
        <v>2.0</v>
      </c>
      <c r="F26" s="12">
        <v>0.0</v>
      </c>
      <c r="G26" s="12">
        <v>9.0</v>
      </c>
      <c r="H26" s="12">
        <v>11.0</v>
      </c>
      <c r="I26" s="12">
        <v>3.0</v>
      </c>
      <c r="J26" s="12">
        <v>3.0</v>
      </c>
      <c r="K26" s="12">
        <v>0.0</v>
      </c>
      <c r="L26" s="13">
        <v>0.4583333333333333</v>
      </c>
      <c r="M26" s="13">
        <v>0.4583333333333333</v>
      </c>
      <c r="N26" s="13">
        <v>0.125</v>
      </c>
      <c r="O26" s="13">
        <v>0.2727272727272727</v>
      </c>
      <c r="P26" s="8" t="s">
        <v>32</v>
      </c>
    </row>
    <row r="27">
      <c r="A27" s="9"/>
      <c r="B27" s="9"/>
      <c r="C27" s="10">
        <f t="shared" ref="C27:K27" si="3">SUM(C14:C26)</f>
        <v>127</v>
      </c>
      <c r="D27" s="10">
        <f t="shared" si="3"/>
        <v>34</v>
      </c>
      <c r="E27" s="10">
        <f t="shared" si="3"/>
        <v>4</v>
      </c>
      <c r="F27" s="10">
        <f t="shared" si="3"/>
        <v>11</v>
      </c>
      <c r="G27" s="10">
        <f t="shared" si="3"/>
        <v>10</v>
      </c>
      <c r="H27" s="10">
        <f t="shared" si="3"/>
        <v>23</v>
      </c>
      <c r="I27" s="10">
        <f t="shared" si="3"/>
        <v>5</v>
      </c>
      <c r="J27" s="10">
        <f t="shared" si="3"/>
        <v>5</v>
      </c>
      <c r="K27" s="10">
        <f t="shared" si="3"/>
        <v>0</v>
      </c>
      <c r="L27" s="11">
        <f t="shared" ref="L27:O27" si="4">AVERAGE(L14:L26)</f>
        <v>0.3469773073</v>
      </c>
      <c r="M27" s="11">
        <f t="shared" si="4"/>
        <v>0.1984557806</v>
      </c>
      <c r="N27" s="11">
        <f t="shared" si="4"/>
        <v>0.02670940171</v>
      </c>
      <c r="O27" s="11">
        <f t="shared" si="4"/>
        <v>0.07226107226</v>
      </c>
      <c r="P27" s="14"/>
    </row>
    <row r="28">
      <c r="A28" s="5" t="s">
        <v>33</v>
      </c>
      <c r="B28" s="5" t="s">
        <v>17</v>
      </c>
      <c r="C28" s="12">
        <v>3.0</v>
      </c>
      <c r="D28" s="12">
        <v>0.0</v>
      </c>
      <c r="E28" s="6">
        <v>0.0</v>
      </c>
      <c r="F28" s="12">
        <v>0.0</v>
      </c>
      <c r="G28" s="6">
        <v>0.0</v>
      </c>
      <c r="H28" s="12">
        <v>0.0</v>
      </c>
      <c r="I28" s="12">
        <v>0.0</v>
      </c>
      <c r="J28" s="12">
        <v>0.0</v>
      </c>
      <c r="K28" s="12">
        <v>0.0</v>
      </c>
      <c r="L28" s="15">
        <v>0.0</v>
      </c>
      <c r="M28" s="15">
        <v>0.0</v>
      </c>
      <c r="N28" s="15">
        <v>0.0</v>
      </c>
      <c r="O28" s="15">
        <v>0.0</v>
      </c>
      <c r="P28" s="8"/>
    </row>
    <row r="29">
      <c r="A29" s="5" t="s">
        <v>33</v>
      </c>
      <c r="B29" s="5" t="s">
        <v>18</v>
      </c>
      <c r="C29" s="12">
        <v>7.0</v>
      </c>
      <c r="D29" s="12">
        <v>2.0</v>
      </c>
      <c r="E29" s="6">
        <v>0.0</v>
      </c>
      <c r="F29" s="12">
        <v>1.0</v>
      </c>
      <c r="G29" s="6">
        <v>0.0</v>
      </c>
      <c r="H29" s="12">
        <v>1.0</v>
      </c>
      <c r="I29" s="12">
        <v>1.0</v>
      </c>
      <c r="J29" s="12">
        <v>1.0</v>
      </c>
      <c r="K29" s="12">
        <v>0.0</v>
      </c>
      <c r="L29" s="15">
        <v>0.2857142857142857</v>
      </c>
      <c r="M29" s="15">
        <v>0.1428571428571428</v>
      </c>
      <c r="N29" s="15">
        <v>0.1428571428571428</v>
      </c>
      <c r="O29" s="15">
        <v>1.0</v>
      </c>
      <c r="P29" s="8" t="s">
        <v>34</v>
      </c>
    </row>
    <row r="30">
      <c r="A30" s="5" t="s">
        <v>33</v>
      </c>
      <c r="B30" s="5" t="s">
        <v>19</v>
      </c>
      <c r="C30" s="12">
        <v>28.0</v>
      </c>
      <c r="D30" s="12">
        <v>2.0</v>
      </c>
      <c r="E30" s="6">
        <v>0.0</v>
      </c>
      <c r="F30" s="12">
        <v>1.0</v>
      </c>
      <c r="G30" s="6">
        <v>0.0</v>
      </c>
      <c r="H30" s="12">
        <v>1.0</v>
      </c>
      <c r="I30" s="12">
        <v>0.0</v>
      </c>
      <c r="J30" s="12">
        <v>0.0</v>
      </c>
      <c r="K30" s="12">
        <v>0.0</v>
      </c>
      <c r="L30" s="15">
        <v>0.07142857142857142</v>
      </c>
      <c r="M30" s="15">
        <v>0.03571428571428571</v>
      </c>
      <c r="N30" s="15">
        <v>0.0</v>
      </c>
      <c r="O30" s="15">
        <v>0.0</v>
      </c>
      <c r="P30" s="8"/>
    </row>
    <row r="31">
      <c r="A31" s="5" t="s">
        <v>33</v>
      </c>
      <c r="B31" s="5" t="s">
        <v>20</v>
      </c>
      <c r="C31" s="12">
        <v>12.0</v>
      </c>
      <c r="D31" s="12">
        <v>0.0</v>
      </c>
      <c r="E31" s="6">
        <v>0.0</v>
      </c>
      <c r="F31" s="12">
        <v>0.0</v>
      </c>
      <c r="G31" s="6">
        <v>0.0</v>
      </c>
      <c r="H31" s="12">
        <v>0.0</v>
      </c>
      <c r="I31" s="12">
        <v>0.0</v>
      </c>
      <c r="J31" s="12">
        <v>0.0</v>
      </c>
      <c r="K31" s="12">
        <v>0.0</v>
      </c>
      <c r="L31" s="15">
        <v>0.0</v>
      </c>
      <c r="M31" s="15">
        <v>0.0</v>
      </c>
      <c r="N31" s="15">
        <v>0.0</v>
      </c>
      <c r="O31" s="15">
        <v>0.0</v>
      </c>
      <c r="P31" s="8"/>
    </row>
    <row r="32">
      <c r="A32" s="5" t="s">
        <v>33</v>
      </c>
      <c r="B32" s="5" t="s">
        <v>30</v>
      </c>
      <c r="C32" s="12">
        <v>0.0</v>
      </c>
      <c r="D32" s="12">
        <v>2.0</v>
      </c>
      <c r="E32" s="6">
        <v>0.0</v>
      </c>
      <c r="F32" s="12">
        <v>0.0</v>
      </c>
      <c r="G32" s="6">
        <v>0.0</v>
      </c>
      <c r="H32" s="12">
        <v>2.0</v>
      </c>
      <c r="I32" s="12">
        <v>0.0</v>
      </c>
      <c r="J32" s="12">
        <v>0.0</v>
      </c>
      <c r="K32" s="12">
        <v>0.0</v>
      </c>
      <c r="L32" s="15">
        <v>0.0</v>
      </c>
      <c r="M32" s="15">
        <v>0.0</v>
      </c>
      <c r="N32" s="15">
        <v>0.0</v>
      </c>
      <c r="O32" s="15">
        <v>0.0</v>
      </c>
      <c r="P32" s="8"/>
    </row>
    <row r="33">
      <c r="A33" s="5" t="s">
        <v>33</v>
      </c>
      <c r="B33" s="5" t="s">
        <v>21</v>
      </c>
      <c r="C33" s="12">
        <v>10.0</v>
      </c>
      <c r="D33" s="12">
        <v>6.0</v>
      </c>
      <c r="E33" s="6">
        <v>2.0</v>
      </c>
      <c r="F33" s="12">
        <v>1.0</v>
      </c>
      <c r="G33" s="6">
        <v>0.0</v>
      </c>
      <c r="H33" s="12">
        <v>5.0</v>
      </c>
      <c r="I33" s="12">
        <v>2.0</v>
      </c>
      <c r="J33" s="12">
        <v>2.0</v>
      </c>
      <c r="K33" s="12">
        <v>0.0</v>
      </c>
      <c r="L33" s="15">
        <v>0.6</v>
      </c>
      <c r="M33" s="15">
        <v>0.5</v>
      </c>
      <c r="N33" s="15">
        <v>0.2</v>
      </c>
      <c r="O33" s="15">
        <v>0.4</v>
      </c>
      <c r="P33" s="8" t="s">
        <v>35</v>
      </c>
    </row>
    <row r="34">
      <c r="A34" s="5" t="s">
        <v>33</v>
      </c>
      <c r="B34" s="5" t="s">
        <v>22</v>
      </c>
      <c r="C34" s="12">
        <v>10.0</v>
      </c>
      <c r="D34" s="12">
        <v>2.0</v>
      </c>
      <c r="E34" s="6">
        <v>0.0</v>
      </c>
      <c r="F34" s="12">
        <v>1.0</v>
      </c>
      <c r="G34" s="6">
        <v>0.0</v>
      </c>
      <c r="H34" s="12">
        <v>1.0</v>
      </c>
      <c r="I34" s="12">
        <v>0.0</v>
      </c>
      <c r="J34" s="12">
        <v>0.0</v>
      </c>
      <c r="K34" s="12">
        <v>0.0</v>
      </c>
      <c r="L34" s="15">
        <v>0.2</v>
      </c>
      <c r="M34" s="15">
        <v>0.1</v>
      </c>
      <c r="N34" s="15">
        <v>0.0</v>
      </c>
      <c r="O34" s="15">
        <v>0.0</v>
      </c>
      <c r="P34" s="8"/>
    </row>
    <row r="35">
      <c r="A35" s="5" t="s">
        <v>33</v>
      </c>
      <c r="B35" s="5" t="s">
        <v>31</v>
      </c>
      <c r="C35" s="12">
        <v>7.0</v>
      </c>
      <c r="D35" s="12">
        <v>2.0</v>
      </c>
      <c r="E35" s="6">
        <v>1.0</v>
      </c>
      <c r="F35" s="12">
        <v>0.0</v>
      </c>
      <c r="G35" s="6">
        <v>0.0</v>
      </c>
      <c r="H35" s="12">
        <v>2.0</v>
      </c>
      <c r="I35" s="12">
        <v>0.0</v>
      </c>
      <c r="J35" s="12">
        <v>0.0</v>
      </c>
      <c r="K35" s="12">
        <v>0.0</v>
      </c>
      <c r="L35" s="15">
        <v>0.2857142857142857</v>
      </c>
      <c r="M35" s="15">
        <v>0.2857142857142857</v>
      </c>
      <c r="N35" s="15">
        <v>0.0</v>
      </c>
      <c r="O35" s="15">
        <v>0.0</v>
      </c>
      <c r="P35" s="8"/>
    </row>
    <row r="36">
      <c r="A36" s="5" t="s">
        <v>33</v>
      </c>
      <c r="B36" s="5" t="s">
        <v>23</v>
      </c>
      <c r="C36" s="12">
        <v>1.0</v>
      </c>
      <c r="D36" s="12">
        <v>0.0</v>
      </c>
      <c r="E36" s="6">
        <v>0.0</v>
      </c>
      <c r="F36" s="12">
        <v>0.0</v>
      </c>
      <c r="G36" s="6">
        <v>0.0</v>
      </c>
      <c r="H36" s="12">
        <v>0.0</v>
      </c>
      <c r="I36" s="12">
        <v>0.0</v>
      </c>
      <c r="J36" s="12">
        <v>0.0</v>
      </c>
      <c r="K36" s="12">
        <v>0.0</v>
      </c>
      <c r="L36" s="15">
        <v>0.0</v>
      </c>
      <c r="M36" s="15">
        <v>0.0</v>
      </c>
      <c r="N36" s="15">
        <v>0.0</v>
      </c>
      <c r="O36" s="15">
        <v>0.0</v>
      </c>
      <c r="P36" s="8"/>
    </row>
    <row r="37">
      <c r="A37" s="5" t="s">
        <v>33</v>
      </c>
      <c r="B37" s="5" t="s">
        <v>25</v>
      </c>
      <c r="C37" s="12">
        <v>14.0</v>
      </c>
      <c r="D37" s="12">
        <v>4.0</v>
      </c>
      <c r="E37" s="6">
        <v>0.0</v>
      </c>
      <c r="F37" s="12">
        <v>1.0</v>
      </c>
      <c r="G37" s="6">
        <v>0.0</v>
      </c>
      <c r="H37" s="12">
        <v>3.0</v>
      </c>
      <c r="I37" s="12">
        <v>0.0</v>
      </c>
      <c r="J37" s="12">
        <v>0.0</v>
      </c>
      <c r="K37" s="12">
        <v>0.0</v>
      </c>
      <c r="L37" s="15">
        <v>0.2857142857142857</v>
      </c>
      <c r="M37" s="15">
        <v>0.2142857142857143</v>
      </c>
      <c r="N37" s="15">
        <v>0.0</v>
      </c>
      <c r="O37" s="15">
        <v>0.0</v>
      </c>
      <c r="P37" s="8"/>
    </row>
    <row r="38">
      <c r="A38" s="5" t="s">
        <v>33</v>
      </c>
      <c r="B38" s="5" t="s">
        <v>26</v>
      </c>
      <c r="C38" s="12">
        <v>1.0</v>
      </c>
      <c r="D38" s="12">
        <v>0.0</v>
      </c>
      <c r="E38" s="6">
        <v>0.0</v>
      </c>
      <c r="F38" s="12">
        <v>0.0</v>
      </c>
      <c r="G38" s="6">
        <v>0.0</v>
      </c>
      <c r="H38" s="12">
        <v>0.0</v>
      </c>
      <c r="I38" s="12">
        <v>0.0</v>
      </c>
      <c r="J38" s="12">
        <v>0.0</v>
      </c>
      <c r="K38" s="12">
        <v>0.0</v>
      </c>
      <c r="L38" s="15">
        <v>0.0</v>
      </c>
      <c r="M38" s="15">
        <v>0.0</v>
      </c>
      <c r="N38" s="15">
        <v>0.0</v>
      </c>
      <c r="O38" s="15">
        <v>0.0</v>
      </c>
      <c r="P38" s="8"/>
    </row>
    <row r="39">
      <c r="A39" s="5" t="s">
        <v>33</v>
      </c>
      <c r="B39" s="5" t="s">
        <v>27</v>
      </c>
      <c r="C39" s="12">
        <v>24.0</v>
      </c>
      <c r="D39" s="12">
        <v>3.0</v>
      </c>
      <c r="E39" s="6">
        <v>0.0</v>
      </c>
      <c r="F39" s="12">
        <v>0.0</v>
      </c>
      <c r="G39" s="6">
        <v>3.0</v>
      </c>
      <c r="H39" s="12">
        <v>3.0</v>
      </c>
      <c r="I39" s="12">
        <v>0.0</v>
      </c>
      <c r="J39" s="12">
        <v>0.0</v>
      </c>
      <c r="K39" s="12">
        <v>0.0</v>
      </c>
      <c r="L39" s="15">
        <v>0.125</v>
      </c>
      <c r="M39" s="15">
        <v>0.125</v>
      </c>
      <c r="N39" s="15">
        <v>0.0</v>
      </c>
      <c r="O39" s="15">
        <v>0.0</v>
      </c>
      <c r="P39" s="8"/>
    </row>
    <row r="40">
      <c r="A40" s="9"/>
      <c r="B40" s="9"/>
      <c r="C40" s="10">
        <f t="shared" ref="C40:K40" si="5">SUM(C28:C39)</f>
        <v>117</v>
      </c>
      <c r="D40" s="10">
        <f t="shared" si="5"/>
        <v>23</v>
      </c>
      <c r="E40" s="9">
        <f t="shared" si="5"/>
        <v>3</v>
      </c>
      <c r="F40" s="10">
        <f t="shared" si="5"/>
        <v>5</v>
      </c>
      <c r="G40" s="9">
        <f t="shared" si="5"/>
        <v>3</v>
      </c>
      <c r="H40" s="10">
        <f t="shared" si="5"/>
        <v>18</v>
      </c>
      <c r="I40" s="10">
        <f t="shared" si="5"/>
        <v>3</v>
      </c>
      <c r="J40" s="10">
        <f t="shared" si="5"/>
        <v>3</v>
      </c>
      <c r="K40" s="10">
        <f t="shared" si="5"/>
        <v>0</v>
      </c>
      <c r="L40" s="16">
        <f t="shared" ref="L40:O40" si="6">AVERAGE(L28:L39)</f>
        <v>0.1544642857</v>
      </c>
      <c r="M40" s="16">
        <f t="shared" si="6"/>
        <v>0.1169642857</v>
      </c>
      <c r="N40" s="16">
        <f t="shared" si="6"/>
        <v>0.02857142857</v>
      </c>
      <c r="O40" s="16">
        <f t="shared" si="6"/>
        <v>0.1166666667</v>
      </c>
      <c r="P40" s="14"/>
    </row>
    <row r="41">
      <c r="A41" s="5" t="s">
        <v>36</v>
      </c>
      <c r="B41" s="5" t="s">
        <v>17</v>
      </c>
      <c r="C41" s="12">
        <v>3.0</v>
      </c>
      <c r="D41" s="12">
        <v>0.0</v>
      </c>
      <c r="E41" s="6">
        <v>0.0</v>
      </c>
      <c r="F41" s="12">
        <v>0.0</v>
      </c>
      <c r="G41" s="6">
        <v>0.0</v>
      </c>
      <c r="H41" s="12">
        <v>0.0</v>
      </c>
      <c r="I41" s="12">
        <v>0.0</v>
      </c>
      <c r="J41" s="12">
        <v>0.0</v>
      </c>
      <c r="K41" s="12">
        <v>0.0</v>
      </c>
      <c r="L41" s="15">
        <v>0.0</v>
      </c>
      <c r="M41" s="15">
        <v>0.0</v>
      </c>
      <c r="N41" s="15">
        <v>0.0</v>
      </c>
      <c r="O41" s="15">
        <v>0.0</v>
      </c>
      <c r="P41" s="8"/>
    </row>
    <row r="42">
      <c r="A42" s="5" t="s">
        <v>36</v>
      </c>
      <c r="B42" s="5" t="s">
        <v>18</v>
      </c>
      <c r="C42" s="12">
        <v>13.0</v>
      </c>
      <c r="D42" s="12">
        <v>5.0</v>
      </c>
      <c r="E42" s="6">
        <v>1.0</v>
      </c>
      <c r="F42" s="12">
        <v>1.0</v>
      </c>
      <c r="G42" s="6">
        <v>0.0</v>
      </c>
      <c r="H42" s="12">
        <v>4.0</v>
      </c>
      <c r="I42" s="12">
        <v>3.0</v>
      </c>
      <c r="J42" s="12">
        <v>3.0</v>
      </c>
      <c r="K42" s="12">
        <v>0.0</v>
      </c>
      <c r="L42" s="15">
        <v>0.3846153846153846</v>
      </c>
      <c r="M42" s="15">
        <v>0.3076923076923077</v>
      </c>
      <c r="N42" s="15">
        <v>0.2307692307692308</v>
      </c>
      <c r="O42" s="15">
        <v>0.75</v>
      </c>
      <c r="P42" s="8" t="s">
        <v>37</v>
      </c>
    </row>
    <row r="43">
      <c r="A43" s="5" t="s">
        <v>36</v>
      </c>
      <c r="B43" s="5" t="s">
        <v>19</v>
      </c>
      <c r="C43" s="12">
        <v>40.0</v>
      </c>
      <c r="D43" s="12">
        <v>5.0</v>
      </c>
      <c r="E43" s="6">
        <v>1.0</v>
      </c>
      <c r="F43" s="12">
        <v>0.0</v>
      </c>
      <c r="G43" s="6">
        <v>0.0</v>
      </c>
      <c r="H43" s="12">
        <v>5.0</v>
      </c>
      <c r="I43" s="12">
        <v>2.0</v>
      </c>
      <c r="J43" s="12">
        <v>2.0</v>
      </c>
      <c r="K43" s="12">
        <v>0.0</v>
      </c>
      <c r="L43" s="15">
        <v>0.125</v>
      </c>
      <c r="M43" s="15">
        <v>0.125</v>
      </c>
      <c r="N43" s="15">
        <v>0.05</v>
      </c>
      <c r="O43" s="15">
        <v>0.4</v>
      </c>
      <c r="P43" s="8" t="s">
        <v>38</v>
      </c>
    </row>
    <row r="44">
      <c r="A44" s="5" t="s">
        <v>36</v>
      </c>
      <c r="B44" s="5" t="s">
        <v>20</v>
      </c>
      <c r="C44" s="12">
        <v>30.0</v>
      </c>
      <c r="D44" s="12">
        <v>3.0</v>
      </c>
      <c r="E44" s="6">
        <v>0.0</v>
      </c>
      <c r="F44" s="12">
        <v>0.0</v>
      </c>
      <c r="G44" s="6">
        <v>3.0</v>
      </c>
      <c r="H44" s="12">
        <v>3.0</v>
      </c>
      <c r="I44" s="12">
        <v>0.0</v>
      </c>
      <c r="J44" s="12">
        <v>0.0</v>
      </c>
      <c r="K44" s="12">
        <v>0.0</v>
      </c>
      <c r="L44" s="15">
        <v>0.1</v>
      </c>
      <c r="M44" s="15">
        <v>0.1</v>
      </c>
      <c r="N44" s="15">
        <v>0.0</v>
      </c>
      <c r="O44" s="15">
        <v>0.0</v>
      </c>
      <c r="P44" s="8"/>
    </row>
    <row r="45">
      <c r="A45" s="5" t="s">
        <v>36</v>
      </c>
      <c r="B45" s="5" t="s">
        <v>30</v>
      </c>
      <c r="C45" s="12">
        <v>2.0</v>
      </c>
      <c r="D45" s="12">
        <v>0.0</v>
      </c>
      <c r="E45" s="6">
        <v>0.0</v>
      </c>
      <c r="F45" s="12">
        <v>0.0</v>
      </c>
      <c r="G45" s="6">
        <v>0.0</v>
      </c>
      <c r="H45" s="12">
        <v>0.0</v>
      </c>
      <c r="I45" s="12">
        <v>0.0</v>
      </c>
      <c r="J45" s="12">
        <v>0.0</v>
      </c>
      <c r="K45" s="12">
        <v>0.0</v>
      </c>
      <c r="L45" s="15">
        <v>0.0</v>
      </c>
      <c r="M45" s="15">
        <v>0.0</v>
      </c>
      <c r="N45" s="15">
        <v>0.0</v>
      </c>
      <c r="O45" s="15">
        <v>0.0</v>
      </c>
      <c r="P45" s="8"/>
    </row>
    <row r="46">
      <c r="A46" s="5" t="s">
        <v>36</v>
      </c>
      <c r="B46" s="5" t="s">
        <v>21</v>
      </c>
      <c r="C46" s="12">
        <v>17.0</v>
      </c>
      <c r="D46" s="12">
        <v>1.0</v>
      </c>
      <c r="E46" s="6">
        <v>0.0</v>
      </c>
      <c r="F46" s="12">
        <v>1.0</v>
      </c>
      <c r="G46" s="6">
        <v>0.0</v>
      </c>
      <c r="H46" s="12">
        <v>0.0</v>
      </c>
      <c r="I46" s="12">
        <v>0.0</v>
      </c>
      <c r="J46" s="12">
        <v>0.0</v>
      </c>
      <c r="K46" s="12">
        <v>0.0</v>
      </c>
      <c r="L46" s="15">
        <v>0.05882352941176471</v>
      </c>
      <c r="M46" s="15">
        <v>0.0</v>
      </c>
      <c r="N46" s="15">
        <v>0.0</v>
      </c>
      <c r="O46" s="15">
        <v>0.0</v>
      </c>
      <c r="P46" s="8"/>
    </row>
    <row r="47">
      <c r="A47" s="5" t="s">
        <v>36</v>
      </c>
      <c r="B47" s="5" t="s">
        <v>22</v>
      </c>
      <c r="C47" s="12">
        <v>25.0</v>
      </c>
      <c r="D47" s="12">
        <v>4.0</v>
      </c>
      <c r="E47" s="6">
        <v>1.0</v>
      </c>
      <c r="F47" s="12">
        <v>1.0</v>
      </c>
      <c r="G47" s="6">
        <v>0.0</v>
      </c>
      <c r="H47" s="12">
        <v>3.0</v>
      </c>
      <c r="I47" s="12">
        <v>0.0</v>
      </c>
      <c r="J47" s="12">
        <v>0.0</v>
      </c>
      <c r="K47" s="12">
        <v>0.0</v>
      </c>
      <c r="L47" s="15">
        <v>0.16</v>
      </c>
      <c r="M47" s="15">
        <v>0.12</v>
      </c>
      <c r="N47" s="15">
        <v>0.0</v>
      </c>
      <c r="O47" s="15">
        <v>0.0</v>
      </c>
      <c r="P47" s="8"/>
    </row>
    <row r="48">
      <c r="A48" s="5" t="s">
        <v>36</v>
      </c>
      <c r="B48" s="5" t="s">
        <v>31</v>
      </c>
      <c r="C48" s="12">
        <v>19.0</v>
      </c>
      <c r="D48" s="12">
        <v>5.0</v>
      </c>
      <c r="E48" s="6">
        <v>1.0</v>
      </c>
      <c r="F48" s="12">
        <v>1.0</v>
      </c>
      <c r="G48" s="6">
        <v>1.0</v>
      </c>
      <c r="H48" s="12">
        <v>4.0</v>
      </c>
      <c r="I48" s="12">
        <v>0.0</v>
      </c>
      <c r="J48" s="12">
        <v>0.0</v>
      </c>
      <c r="K48" s="12">
        <v>0.0</v>
      </c>
      <c r="L48" s="15">
        <v>0.2631578947368421</v>
      </c>
      <c r="M48" s="15">
        <v>0.2105263157894737</v>
      </c>
      <c r="N48" s="15">
        <v>0.0</v>
      </c>
      <c r="O48" s="15">
        <v>0.0</v>
      </c>
      <c r="P48" s="8"/>
    </row>
    <row r="49">
      <c r="A49" s="5" t="s">
        <v>36</v>
      </c>
      <c r="B49" s="5" t="s">
        <v>23</v>
      </c>
      <c r="C49" s="12">
        <v>3.0</v>
      </c>
      <c r="D49" s="12">
        <v>2.0</v>
      </c>
      <c r="E49" s="6">
        <v>0.0</v>
      </c>
      <c r="F49" s="12">
        <v>0.0</v>
      </c>
      <c r="G49" s="6">
        <v>0.0</v>
      </c>
      <c r="H49" s="12">
        <v>2.0</v>
      </c>
      <c r="I49" s="12">
        <v>0.0</v>
      </c>
      <c r="J49" s="12">
        <v>0.0</v>
      </c>
      <c r="K49" s="12">
        <v>0.0</v>
      </c>
      <c r="L49" s="15">
        <v>0.6666666666666666</v>
      </c>
      <c r="M49" s="15">
        <v>0.6666666666666666</v>
      </c>
      <c r="N49" s="15">
        <v>0.0</v>
      </c>
      <c r="O49" s="15">
        <v>0.0</v>
      </c>
      <c r="P49" s="8"/>
    </row>
    <row r="50">
      <c r="A50" s="5" t="s">
        <v>36</v>
      </c>
      <c r="B50" s="5" t="s">
        <v>24</v>
      </c>
      <c r="C50" s="12">
        <v>1.0</v>
      </c>
      <c r="D50" s="12">
        <v>0.0</v>
      </c>
      <c r="E50" s="6">
        <v>0.0</v>
      </c>
      <c r="F50" s="12">
        <v>0.0</v>
      </c>
      <c r="G50" s="6">
        <v>0.0</v>
      </c>
      <c r="H50" s="12">
        <v>0.0</v>
      </c>
      <c r="I50" s="12">
        <v>0.0</v>
      </c>
      <c r="J50" s="12">
        <v>0.0</v>
      </c>
      <c r="K50" s="12">
        <v>0.0</v>
      </c>
      <c r="L50" s="15">
        <v>0.0</v>
      </c>
      <c r="M50" s="15">
        <v>0.0</v>
      </c>
      <c r="N50" s="15">
        <v>0.0</v>
      </c>
      <c r="O50" s="15">
        <v>0.0</v>
      </c>
      <c r="P50" s="8"/>
    </row>
    <row r="51">
      <c r="A51" s="5" t="s">
        <v>36</v>
      </c>
      <c r="B51" s="5" t="s">
        <v>25</v>
      </c>
      <c r="C51" s="12">
        <v>21.0</v>
      </c>
      <c r="D51" s="12">
        <v>0.0</v>
      </c>
      <c r="E51" s="6">
        <v>0.0</v>
      </c>
      <c r="F51" s="12">
        <v>0.0</v>
      </c>
      <c r="G51" s="6">
        <v>0.0</v>
      </c>
      <c r="H51" s="12">
        <v>0.0</v>
      </c>
      <c r="I51" s="12">
        <v>0.0</v>
      </c>
      <c r="J51" s="12">
        <v>0.0</v>
      </c>
      <c r="K51" s="12">
        <v>0.0</v>
      </c>
      <c r="L51" s="15">
        <v>0.0</v>
      </c>
      <c r="M51" s="15">
        <v>0.0</v>
      </c>
      <c r="N51" s="15">
        <v>0.0</v>
      </c>
      <c r="O51" s="15">
        <v>0.0</v>
      </c>
      <c r="P51" s="8"/>
    </row>
    <row r="52">
      <c r="A52" s="5" t="s">
        <v>36</v>
      </c>
      <c r="B52" s="5" t="s">
        <v>26</v>
      </c>
      <c r="C52" s="12">
        <v>9.0</v>
      </c>
      <c r="D52" s="12">
        <v>3.0</v>
      </c>
      <c r="E52" s="6">
        <v>1.0</v>
      </c>
      <c r="F52" s="12">
        <v>0.0</v>
      </c>
      <c r="G52" s="6">
        <v>0.0</v>
      </c>
      <c r="H52" s="12">
        <v>3.0</v>
      </c>
      <c r="I52" s="12">
        <v>0.0</v>
      </c>
      <c r="J52" s="12">
        <v>0.0</v>
      </c>
      <c r="K52" s="12">
        <v>0.0</v>
      </c>
      <c r="L52" s="15">
        <v>0.3333333333333333</v>
      </c>
      <c r="M52" s="15">
        <v>0.3333333333333333</v>
      </c>
      <c r="N52" s="15">
        <v>0.0</v>
      </c>
      <c r="O52" s="15">
        <v>0.0</v>
      </c>
      <c r="P52" s="8"/>
    </row>
    <row r="53">
      <c r="A53" s="5" t="s">
        <v>36</v>
      </c>
      <c r="B53" s="5" t="s">
        <v>27</v>
      </c>
      <c r="C53" s="12">
        <v>36.0</v>
      </c>
      <c r="D53" s="12">
        <v>5.0</v>
      </c>
      <c r="E53" s="6">
        <v>0.0</v>
      </c>
      <c r="F53" s="12">
        <v>0.0</v>
      </c>
      <c r="G53" s="6">
        <v>5.0</v>
      </c>
      <c r="H53" s="12">
        <v>5.0</v>
      </c>
      <c r="I53" s="12">
        <v>0.0</v>
      </c>
      <c r="J53" s="12">
        <v>0.0</v>
      </c>
      <c r="K53" s="12">
        <v>0.0</v>
      </c>
      <c r="L53" s="15">
        <v>0.1388888888888889</v>
      </c>
      <c r="M53" s="15">
        <v>0.1388888888888889</v>
      </c>
      <c r="N53" s="15">
        <v>0.0</v>
      </c>
      <c r="O53" s="15">
        <v>0.0</v>
      </c>
      <c r="P53" s="8"/>
    </row>
    <row r="54">
      <c r="A54" s="9"/>
      <c r="B54" s="9"/>
      <c r="C54" s="10">
        <f t="shared" ref="C54:J54" si="7">SUM(C41:C53)</f>
        <v>219</v>
      </c>
      <c r="D54" s="10">
        <f t="shared" si="7"/>
        <v>33</v>
      </c>
      <c r="E54" s="9">
        <f t="shared" si="7"/>
        <v>5</v>
      </c>
      <c r="F54" s="10">
        <f t="shared" si="7"/>
        <v>4</v>
      </c>
      <c r="G54" s="9">
        <f t="shared" si="7"/>
        <v>9</v>
      </c>
      <c r="H54" s="10">
        <f t="shared" si="7"/>
        <v>29</v>
      </c>
      <c r="I54" s="10">
        <f t="shared" si="7"/>
        <v>5</v>
      </c>
      <c r="J54" s="10">
        <f t="shared" si="7"/>
        <v>5</v>
      </c>
      <c r="K54" s="9"/>
      <c r="L54" s="16"/>
      <c r="M54" s="16"/>
      <c r="N54" s="16"/>
      <c r="O54" s="16"/>
      <c r="P54" s="14"/>
    </row>
    <row r="55">
      <c r="A55" s="5" t="s">
        <v>39</v>
      </c>
      <c r="B55" s="5" t="s">
        <v>17</v>
      </c>
      <c r="C55" s="12">
        <v>2.0</v>
      </c>
      <c r="D55" s="12">
        <v>0.0</v>
      </c>
      <c r="E55" s="6">
        <v>0.0</v>
      </c>
      <c r="F55" s="12">
        <v>0.0</v>
      </c>
      <c r="G55" s="6">
        <v>0.0</v>
      </c>
      <c r="H55" s="12">
        <v>0.0</v>
      </c>
      <c r="I55" s="12">
        <v>0.0</v>
      </c>
      <c r="J55" s="12">
        <v>0.0</v>
      </c>
      <c r="K55" s="12">
        <v>0.0</v>
      </c>
      <c r="L55" s="15">
        <v>0.0</v>
      </c>
      <c r="M55" s="15">
        <v>0.0</v>
      </c>
      <c r="N55" s="15">
        <v>0.0</v>
      </c>
      <c r="O55" s="15">
        <v>0.0</v>
      </c>
      <c r="P55" s="8"/>
    </row>
    <row r="56">
      <c r="A56" s="5" t="s">
        <v>39</v>
      </c>
      <c r="B56" s="5" t="s">
        <v>18</v>
      </c>
      <c r="C56" s="12">
        <v>10.0</v>
      </c>
      <c r="D56" s="12">
        <v>5.0</v>
      </c>
      <c r="E56" s="6">
        <v>0.0</v>
      </c>
      <c r="F56" s="12">
        <v>2.0</v>
      </c>
      <c r="G56" s="6">
        <v>0.0</v>
      </c>
      <c r="H56" s="12">
        <v>3.0</v>
      </c>
      <c r="I56" s="12">
        <v>1.0</v>
      </c>
      <c r="J56" s="12">
        <v>1.0</v>
      </c>
      <c r="K56" s="12">
        <v>0.0</v>
      </c>
      <c r="L56" s="15">
        <v>0.5</v>
      </c>
      <c r="M56" s="15">
        <v>0.3</v>
      </c>
      <c r="N56" s="15">
        <v>0.1</v>
      </c>
      <c r="O56" s="15">
        <v>0.3333333333333333</v>
      </c>
      <c r="P56" s="8" t="s">
        <v>40</v>
      </c>
    </row>
    <row r="57">
      <c r="A57" s="5" t="s">
        <v>39</v>
      </c>
      <c r="B57" s="5" t="s">
        <v>19</v>
      </c>
      <c r="C57" s="12">
        <v>28.0</v>
      </c>
      <c r="D57" s="12">
        <v>4.0</v>
      </c>
      <c r="E57" s="6">
        <v>1.0</v>
      </c>
      <c r="F57" s="12">
        <v>3.0</v>
      </c>
      <c r="G57" s="6">
        <v>0.0</v>
      </c>
      <c r="H57" s="12">
        <v>1.0</v>
      </c>
      <c r="I57" s="12">
        <v>1.0</v>
      </c>
      <c r="J57" s="12">
        <v>1.0</v>
      </c>
      <c r="K57" s="12">
        <v>0.0</v>
      </c>
      <c r="L57" s="15">
        <v>0.1428571428571428</v>
      </c>
      <c r="M57" s="15">
        <v>0.03571428571428571</v>
      </c>
      <c r="N57" s="15">
        <v>0.03571428571428571</v>
      </c>
      <c r="O57" s="15">
        <v>1.0</v>
      </c>
      <c r="P57" s="8" t="s">
        <v>41</v>
      </c>
    </row>
    <row r="58">
      <c r="A58" s="5" t="s">
        <v>39</v>
      </c>
      <c r="B58" s="5" t="s">
        <v>20</v>
      </c>
      <c r="C58" s="12">
        <v>20.0</v>
      </c>
      <c r="D58" s="12">
        <v>0.0</v>
      </c>
      <c r="E58" s="6">
        <v>0.0</v>
      </c>
      <c r="F58" s="12">
        <v>0.0</v>
      </c>
      <c r="G58" s="6">
        <v>0.0</v>
      </c>
      <c r="H58" s="12">
        <v>0.0</v>
      </c>
      <c r="I58" s="12">
        <v>0.0</v>
      </c>
      <c r="J58" s="12">
        <v>0.0</v>
      </c>
      <c r="K58" s="12">
        <v>0.0</v>
      </c>
      <c r="L58" s="15">
        <v>0.0</v>
      </c>
      <c r="M58" s="15">
        <v>0.0</v>
      </c>
      <c r="N58" s="15">
        <v>0.0</v>
      </c>
      <c r="O58" s="15">
        <v>0.0</v>
      </c>
      <c r="P58" s="8"/>
    </row>
    <row r="59">
      <c r="A59" s="5" t="s">
        <v>39</v>
      </c>
      <c r="B59" s="5" t="s">
        <v>30</v>
      </c>
      <c r="C59" s="12">
        <v>2.0</v>
      </c>
      <c r="D59" s="12">
        <v>0.0</v>
      </c>
      <c r="E59" s="6">
        <v>0.0</v>
      </c>
      <c r="F59" s="12">
        <v>0.0</v>
      </c>
      <c r="G59" s="6">
        <v>0.0</v>
      </c>
      <c r="H59" s="12">
        <v>0.0</v>
      </c>
      <c r="I59" s="12">
        <v>0.0</v>
      </c>
      <c r="J59" s="12">
        <v>0.0</v>
      </c>
      <c r="K59" s="12">
        <v>0.0</v>
      </c>
      <c r="L59" s="15">
        <v>0.0</v>
      </c>
      <c r="M59" s="15">
        <v>0.0</v>
      </c>
      <c r="N59" s="15">
        <v>0.0</v>
      </c>
      <c r="O59" s="15">
        <v>0.0</v>
      </c>
      <c r="P59" s="8"/>
    </row>
    <row r="60">
      <c r="A60" s="5" t="s">
        <v>39</v>
      </c>
      <c r="B60" s="5" t="s">
        <v>21</v>
      </c>
      <c r="C60" s="12">
        <v>21.0</v>
      </c>
      <c r="D60" s="12">
        <v>5.0</v>
      </c>
      <c r="E60" s="6">
        <v>0.0</v>
      </c>
      <c r="F60" s="12">
        <v>2.0</v>
      </c>
      <c r="G60" s="6">
        <v>0.0</v>
      </c>
      <c r="H60" s="12">
        <v>3.0</v>
      </c>
      <c r="I60" s="12">
        <v>0.0</v>
      </c>
      <c r="J60" s="12">
        <v>0.0</v>
      </c>
      <c r="K60" s="12">
        <v>0.0</v>
      </c>
      <c r="L60" s="15">
        <v>0.2380952380952381</v>
      </c>
      <c r="M60" s="15">
        <v>0.1428571428571428</v>
      </c>
      <c r="N60" s="15">
        <v>0.0</v>
      </c>
      <c r="O60" s="15">
        <v>0.0</v>
      </c>
      <c r="P60" s="8"/>
    </row>
    <row r="61">
      <c r="A61" s="5" t="s">
        <v>39</v>
      </c>
      <c r="B61" s="5" t="s">
        <v>22</v>
      </c>
      <c r="C61" s="12">
        <v>16.0</v>
      </c>
      <c r="D61" s="12">
        <v>6.0</v>
      </c>
      <c r="E61" s="6">
        <v>0.0</v>
      </c>
      <c r="F61" s="12">
        <v>2.0</v>
      </c>
      <c r="G61" s="6">
        <v>0.0</v>
      </c>
      <c r="H61" s="12">
        <v>4.0</v>
      </c>
      <c r="I61" s="12">
        <v>2.0</v>
      </c>
      <c r="J61" s="12">
        <v>2.0</v>
      </c>
      <c r="K61" s="12">
        <v>0.0</v>
      </c>
      <c r="L61" s="15">
        <v>0.375</v>
      </c>
      <c r="M61" s="15">
        <v>0.25</v>
      </c>
      <c r="N61" s="15">
        <v>0.125</v>
      </c>
      <c r="O61" s="15">
        <v>0.5</v>
      </c>
      <c r="P61" s="8" t="s">
        <v>42</v>
      </c>
    </row>
    <row r="62">
      <c r="A62" s="5" t="s">
        <v>39</v>
      </c>
      <c r="B62" s="5" t="s">
        <v>31</v>
      </c>
      <c r="C62" s="12">
        <v>17.0</v>
      </c>
      <c r="D62" s="12">
        <v>6.0</v>
      </c>
      <c r="E62" s="6">
        <v>0.0</v>
      </c>
      <c r="F62" s="12">
        <v>2.0</v>
      </c>
      <c r="G62" s="6">
        <v>0.0</v>
      </c>
      <c r="H62" s="12">
        <v>4.0</v>
      </c>
      <c r="I62" s="12">
        <v>2.0</v>
      </c>
      <c r="J62" s="12">
        <v>2.0</v>
      </c>
      <c r="K62" s="12">
        <v>0.0</v>
      </c>
      <c r="L62" s="15">
        <v>0.3529411764705883</v>
      </c>
      <c r="M62" s="15">
        <v>0.2352941176470588</v>
      </c>
      <c r="N62" s="15">
        <v>0.1176470588235294</v>
      </c>
      <c r="O62" s="15">
        <v>0.5</v>
      </c>
      <c r="P62" s="8" t="s">
        <v>43</v>
      </c>
    </row>
    <row r="63">
      <c r="A63" s="5" t="s">
        <v>39</v>
      </c>
      <c r="B63" s="5" t="s">
        <v>23</v>
      </c>
      <c r="C63" s="12">
        <v>6.0</v>
      </c>
      <c r="D63" s="12">
        <v>0.0</v>
      </c>
      <c r="E63" s="6">
        <v>0.0</v>
      </c>
      <c r="F63" s="12">
        <v>0.0</v>
      </c>
      <c r="G63" s="6">
        <v>0.0</v>
      </c>
      <c r="H63" s="12">
        <v>0.0</v>
      </c>
      <c r="I63" s="12">
        <v>0.0</v>
      </c>
      <c r="J63" s="12">
        <v>0.0</v>
      </c>
      <c r="K63" s="12">
        <v>0.0</v>
      </c>
      <c r="L63" s="15">
        <v>0.0</v>
      </c>
      <c r="M63" s="15">
        <v>0.0</v>
      </c>
      <c r="N63" s="15">
        <v>0.0</v>
      </c>
      <c r="O63" s="15">
        <v>0.0</v>
      </c>
      <c r="P63" s="8"/>
    </row>
    <row r="64">
      <c r="A64" s="5" t="s">
        <v>39</v>
      </c>
      <c r="B64" s="5" t="s">
        <v>24</v>
      </c>
      <c r="C64" s="12">
        <v>2.0</v>
      </c>
      <c r="D64" s="12">
        <v>0.0</v>
      </c>
      <c r="E64" s="6">
        <v>0.0</v>
      </c>
      <c r="F64" s="12">
        <v>0.0</v>
      </c>
      <c r="G64" s="6">
        <v>0.0</v>
      </c>
      <c r="H64" s="12">
        <v>0.0</v>
      </c>
      <c r="I64" s="12">
        <v>0.0</v>
      </c>
      <c r="J64" s="12">
        <v>0.0</v>
      </c>
      <c r="K64" s="12">
        <v>0.0</v>
      </c>
      <c r="L64" s="15">
        <v>0.0</v>
      </c>
      <c r="M64" s="15">
        <v>0.0</v>
      </c>
      <c r="N64" s="15">
        <v>0.0</v>
      </c>
      <c r="O64" s="15">
        <v>0.0</v>
      </c>
      <c r="P64" s="8"/>
    </row>
    <row r="65">
      <c r="A65" s="5" t="s">
        <v>39</v>
      </c>
      <c r="B65" s="5" t="s">
        <v>25</v>
      </c>
      <c r="C65" s="12">
        <v>13.0</v>
      </c>
      <c r="D65" s="12">
        <v>3.0</v>
      </c>
      <c r="E65" s="6">
        <v>1.0</v>
      </c>
      <c r="F65" s="12">
        <v>0.0</v>
      </c>
      <c r="G65" s="6">
        <v>0.0</v>
      </c>
      <c r="H65" s="12">
        <v>3.0</v>
      </c>
      <c r="I65" s="12">
        <v>1.0</v>
      </c>
      <c r="J65" s="12">
        <v>0.0</v>
      </c>
      <c r="K65" s="12">
        <v>1.0</v>
      </c>
      <c r="L65" s="15">
        <v>0.2307692307692308</v>
      </c>
      <c r="M65" s="15">
        <v>0.2307692307692308</v>
      </c>
      <c r="N65" s="15">
        <v>0.0</v>
      </c>
      <c r="O65" s="15">
        <v>0.0</v>
      </c>
      <c r="P65" s="8" t="s">
        <v>44</v>
      </c>
    </row>
    <row r="66">
      <c r="A66" s="5" t="s">
        <v>39</v>
      </c>
      <c r="B66" s="5" t="s">
        <v>26</v>
      </c>
      <c r="C66" s="12">
        <v>7.0</v>
      </c>
      <c r="D66" s="12">
        <v>4.0</v>
      </c>
      <c r="E66" s="6">
        <v>1.0</v>
      </c>
      <c r="F66" s="12">
        <v>2.0</v>
      </c>
      <c r="G66" s="6">
        <v>0.0</v>
      </c>
      <c r="H66" s="12">
        <v>2.0</v>
      </c>
      <c r="I66" s="12">
        <v>0.0</v>
      </c>
      <c r="J66" s="12">
        <v>0.0</v>
      </c>
      <c r="K66" s="12">
        <v>0.0</v>
      </c>
      <c r="L66" s="15">
        <v>0.5714285714285714</v>
      </c>
      <c r="M66" s="15">
        <v>0.2857142857142857</v>
      </c>
      <c r="N66" s="15">
        <v>0.0</v>
      </c>
      <c r="O66" s="15">
        <v>0.0</v>
      </c>
      <c r="P66" s="8"/>
    </row>
    <row r="67">
      <c r="A67" s="5" t="s">
        <v>39</v>
      </c>
      <c r="B67" s="5" t="s">
        <v>27</v>
      </c>
      <c r="C67" s="12">
        <v>30.0</v>
      </c>
      <c r="D67" s="12">
        <v>8.0</v>
      </c>
      <c r="E67" s="6">
        <v>1.0</v>
      </c>
      <c r="F67" s="12">
        <v>0.0</v>
      </c>
      <c r="G67" s="6">
        <v>7.0</v>
      </c>
      <c r="H67" s="12">
        <v>8.0</v>
      </c>
      <c r="I67" s="12">
        <v>0.0</v>
      </c>
      <c r="J67" s="12">
        <v>0.0</v>
      </c>
      <c r="K67" s="12">
        <v>0.0</v>
      </c>
      <c r="L67" s="15">
        <v>0.2666666666666667</v>
      </c>
      <c r="M67" s="15">
        <v>0.2666666666666667</v>
      </c>
      <c r="N67" s="15">
        <v>0.0</v>
      </c>
      <c r="O67" s="15">
        <v>0.0</v>
      </c>
      <c r="P67" s="8"/>
    </row>
    <row r="68">
      <c r="A68" s="9"/>
      <c r="B68" s="9"/>
      <c r="C68" s="10">
        <f t="shared" ref="C68:K68" si="8">SUM(C55:C67)</f>
        <v>174</v>
      </c>
      <c r="D68" s="10">
        <f t="shared" si="8"/>
        <v>41</v>
      </c>
      <c r="E68" s="9">
        <f t="shared" si="8"/>
        <v>4</v>
      </c>
      <c r="F68" s="10">
        <f t="shared" si="8"/>
        <v>13</v>
      </c>
      <c r="G68" s="9">
        <f t="shared" si="8"/>
        <v>7</v>
      </c>
      <c r="H68" s="10">
        <f t="shared" si="8"/>
        <v>28</v>
      </c>
      <c r="I68" s="10">
        <f t="shared" si="8"/>
        <v>7</v>
      </c>
      <c r="J68" s="10">
        <f t="shared" si="8"/>
        <v>6</v>
      </c>
      <c r="K68" s="10">
        <f t="shared" si="8"/>
        <v>1</v>
      </c>
      <c r="L68" s="16"/>
      <c r="M68" s="16"/>
      <c r="N68" s="16"/>
      <c r="O68" s="16"/>
      <c r="P68" s="14"/>
    </row>
    <row r="69">
      <c r="A69" s="5" t="s">
        <v>45</v>
      </c>
      <c r="B69" s="5" t="s">
        <v>17</v>
      </c>
      <c r="C69" s="12">
        <v>6.0</v>
      </c>
      <c r="D69" s="12">
        <v>0.0</v>
      </c>
      <c r="E69" s="6">
        <v>0.0</v>
      </c>
      <c r="F69" s="12">
        <v>0.0</v>
      </c>
      <c r="G69" s="6">
        <v>0.0</v>
      </c>
      <c r="H69" s="12">
        <v>0.0</v>
      </c>
      <c r="I69" s="12">
        <v>0.0</v>
      </c>
      <c r="J69" s="12">
        <v>0.0</v>
      </c>
      <c r="K69" s="12">
        <v>0.0</v>
      </c>
      <c r="L69" s="15">
        <v>0.0</v>
      </c>
      <c r="M69" s="15">
        <v>0.0</v>
      </c>
      <c r="N69" s="15">
        <v>0.0</v>
      </c>
      <c r="O69" s="15">
        <v>0.0</v>
      </c>
      <c r="P69" s="8"/>
    </row>
    <row r="70">
      <c r="A70" s="5" t="s">
        <v>45</v>
      </c>
      <c r="B70" s="5" t="s">
        <v>18</v>
      </c>
      <c r="C70" s="12">
        <v>15.0</v>
      </c>
      <c r="D70" s="12">
        <v>6.0</v>
      </c>
      <c r="E70" s="6">
        <v>2.0</v>
      </c>
      <c r="F70" s="12">
        <v>1.0</v>
      </c>
      <c r="G70" s="6">
        <v>0.0</v>
      </c>
      <c r="H70" s="12">
        <v>5.0</v>
      </c>
      <c r="I70" s="12">
        <v>1.0</v>
      </c>
      <c r="J70" s="12">
        <v>1.0</v>
      </c>
      <c r="K70" s="12">
        <v>0.0</v>
      </c>
      <c r="L70" s="15">
        <v>0.4</v>
      </c>
      <c r="M70" s="15">
        <v>0.3333333333333333</v>
      </c>
      <c r="N70" s="15">
        <v>0.06666666666666667</v>
      </c>
      <c r="O70" s="15">
        <v>0.2</v>
      </c>
      <c r="P70" s="8" t="s">
        <v>46</v>
      </c>
    </row>
    <row r="71">
      <c r="A71" s="5" t="s">
        <v>45</v>
      </c>
      <c r="B71" s="5" t="s">
        <v>19</v>
      </c>
      <c r="C71" s="12">
        <v>58.0</v>
      </c>
      <c r="D71" s="12">
        <v>7.0</v>
      </c>
      <c r="E71" s="6">
        <v>0.0</v>
      </c>
      <c r="F71" s="12">
        <v>1.0</v>
      </c>
      <c r="G71" s="6">
        <v>0.0</v>
      </c>
      <c r="H71" s="12">
        <v>6.0</v>
      </c>
      <c r="I71" s="12">
        <v>0.0</v>
      </c>
      <c r="J71" s="12">
        <v>0.0</v>
      </c>
      <c r="K71" s="12">
        <v>0.0</v>
      </c>
      <c r="L71" s="15">
        <v>0.1206896551724138</v>
      </c>
      <c r="M71" s="15">
        <v>0.103448275862069</v>
      </c>
      <c r="N71" s="15">
        <v>0.0</v>
      </c>
      <c r="O71" s="15">
        <v>0.0</v>
      </c>
      <c r="P71" s="8"/>
    </row>
    <row r="72">
      <c r="A72" s="5" t="s">
        <v>45</v>
      </c>
      <c r="B72" s="5" t="s">
        <v>20</v>
      </c>
      <c r="C72" s="12">
        <v>38.0</v>
      </c>
      <c r="D72" s="12">
        <v>2.0</v>
      </c>
      <c r="E72" s="6">
        <v>0.0</v>
      </c>
      <c r="F72" s="12">
        <v>0.0</v>
      </c>
      <c r="G72" s="6">
        <v>2.0</v>
      </c>
      <c r="H72" s="12">
        <v>2.0</v>
      </c>
      <c r="I72" s="12">
        <v>0.0</v>
      </c>
      <c r="J72" s="12">
        <v>0.0</v>
      </c>
      <c r="K72" s="12">
        <v>0.0</v>
      </c>
      <c r="L72" s="15">
        <v>0.05263157894736842</v>
      </c>
      <c r="M72" s="15">
        <v>0.05263157894736842</v>
      </c>
      <c r="N72" s="15">
        <v>0.0</v>
      </c>
      <c r="O72" s="15">
        <v>0.0</v>
      </c>
      <c r="P72" s="8"/>
    </row>
    <row r="73">
      <c r="A73" s="5" t="s">
        <v>45</v>
      </c>
      <c r="B73" s="5" t="s">
        <v>30</v>
      </c>
      <c r="C73" s="12">
        <v>4.0</v>
      </c>
      <c r="D73" s="12">
        <v>0.0</v>
      </c>
      <c r="E73" s="6">
        <v>0.0</v>
      </c>
      <c r="F73" s="12">
        <v>0.0</v>
      </c>
      <c r="G73" s="6">
        <v>0.0</v>
      </c>
      <c r="H73" s="12">
        <v>0.0</v>
      </c>
      <c r="I73" s="12">
        <v>0.0</v>
      </c>
      <c r="J73" s="12">
        <v>0.0</v>
      </c>
      <c r="K73" s="12">
        <v>0.0</v>
      </c>
      <c r="L73" s="15">
        <v>0.0</v>
      </c>
      <c r="M73" s="15">
        <v>0.0</v>
      </c>
      <c r="N73" s="15">
        <v>0.0</v>
      </c>
      <c r="O73" s="15">
        <v>0.0</v>
      </c>
      <c r="P73" s="8"/>
    </row>
    <row r="74">
      <c r="A74" s="5" t="s">
        <v>45</v>
      </c>
      <c r="B74" s="5" t="s">
        <v>21</v>
      </c>
      <c r="C74" s="12">
        <v>29.0</v>
      </c>
      <c r="D74" s="12">
        <v>5.0</v>
      </c>
      <c r="E74" s="6">
        <v>1.0</v>
      </c>
      <c r="F74" s="12">
        <v>0.0</v>
      </c>
      <c r="G74" s="6">
        <v>0.0</v>
      </c>
      <c r="H74" s="12">
        <v>5.0</v>
      </c>
      <c r="I74" s="12">
        <v>1.0</v>
      </c>
      <c r="J74" s="12">
        <v>1.0</v>
      </c>
      <c r="K74" s="12">
        <v>0.0</v>
      </c>
      <c r="L74" s="15">
        <v>0.1724137931034483</v>
      </c>
      <c r="M74" s="15">
        <v>0.1724137931034483</v>
      </c>
      <c r="N74" s="15">
        <v>0.03448275862068965</v>
      </c>
      <c r="O74" s="15">
        <v>0.2</v>
      </c>
      <c r="P74" s="8" t="s">
        <v>47</v>
      </c>
    </row>
    <row r="75">
      <c r="A75" s="5" t="s">
        <v>45</v>
      </c>
      <c r="B75" s="5" t="s">
        <v>22</v>
      </c>
      <c r="C75" s="12">
        <v>25.0</v>
      </c>
      <c r="D75" s="12">
        <v>3.0</v>
      </c>
      <c r="E75" s="6">
        <v>0.0</v>
      </c>
      <c r="F75" s="12">
        <v>1.0</v>
      </c>
      <c r="G75" s="6">
        <v>0.0</v>
      </c>
      <c r="H75" s="12">
        <v>2.0</v>
      </c>
      <c r="I75" s="12">
        <v>0.0</v>
      </c>
      <c r="J75" s="12">
        <v>0.0</v>
      </c>
      <c r="K75" s="12">
        <v>0.0</v>
      </c>
      <c r="L75" s="15">
        <v>0.12</v>
      </c>
      <c r="M75" s="15">
        <v>0.08</v>
      </c>
      <c r="N75" s="15">
        <v>0.0</v>
      </c>
      <c r="O75" s="15">
        <v>0.0</v>
      </c>
      <c r="P75" s="8"/>
    </row>
    <row r="76">
      <c r="A76" s="5" t="s">
        <v>45</v>
      </c>
      <c r="B76" s="5" t="s">
        <v>31</v>
      </c>
      <c r="C76" s="12">
        <v>26.0</v>
      </c>
      <c r="D76" s="12">
        <v>7.0</v>
      </c>
      <c r="E76" s="6">
        <v>0.0</v>
      </c>
      <c r="F76" s="12">
        <v>4.0</v>
      </c>
      <c r="G76" s="6">
        <v>0.0</v>
      </c>
      <c r="H76" s="12">
        <v>3.0</v>
      </c>
      <c r="I76" s="12">
        <v>2.0</v>
      </c>
      <c r="J76" s="12">
        <v>2.0</v>
      </c>
      <c r="K76" s="12">
        <v>0.0</v>
      </c>
      <c r="L76" s="15">
        <v>0.2692307692307692</v>
      </c>
      <c r="M76" s="15">
        <v>0.1153846153846154</v>
      </c>
      <c r="N76" s="15">
        <v>0.07692307692307693</v>
      </c>
      <c r="O76" s="15">
        <v>0.6666666666666666</v>
      </c>
      <c r="P76" s="8" t="s">
        <v>48</v>
      </c>
    </row>
    <row r="77">
      <c r="A77" s="5" t="s">
        <v>45</v>
      </c>
      <c r="B77" s="5" t="s">
        <v>23</v>
      </c>
      <c r="C77" s="12">
        <v>12.0</v>
      </c>
      <c r="D77" s="12">
        <v>5.0</v>
      </c>
      <c r="E77" s="6">
        <v>1.0</v>
      </c>
      <c r="F77" s="12">
        <v>0.0</v>
      </c>
      <c r="G77" s="6">
        <v>0.0</v>
      </c>
      <c r="H77" s="12">
        <v>5.0</v>
      </c>
      <c r="I77" s="12">
        <v>0.0</v>
      </c>
      <c r="J77" s="12">
        <v>0.0</v>
      </c>
      <c r="K77" s="12">
        <v>0.0</v>
      </c>
      <c r="L77" s="15">
        <v>0.4166666666666667</v>
      </c>
      <c r="M77" s="15">
        <v>0.4166666666666667</v>
      </c>
      <c r="N77" s="15">
        <v>0.0</v>
      </c>
      <c r="O77" s="15">
        <v>0.0</v>
      </c>
      <c r="P77" s="8"/>
    </row>
    <row r="78">
      <c r="A78" s="5" t="s">
        <v>45</v>
      </c>
      <c r="B78" s="5" t="s">
        <v>25</v>
      </c>
      <c r="C78" s="12">
        <v>16.0</v>
      </c>
      <c r="D78" s="12">
        <v>5.0</v>
      </c>
      <c r="E78" s="6">
        <v>0.0</v>
      </c>
      <c r="F78" s="12">
        <v>1.0</v>
      </c>
      <c r="G78" s="6">
        <v>0.0</v>
      </c>
      <c r="H78" s="12">
        <v>4.0</v>
      </c>
      <c r="I78" s="12">
        <v>0.0</v>
      </c>
      <c r="J78" s="12">
        <v>0.0</v>
      </c>
      <c r="K78" s="12">
        <v>0.0</v>
      </c>
      <c r="L78" s="15">
        <v>0.3125</v>
      </c>
      <c r="M78" s="15">
        <v>0.25</v>
      </c>
      <c r="N78" s="15">
        <v>0.0</v>
      </c>
      <c r="O78" s="15">
        <v>0.0</v>
      </c>
      <c r="P78" s="8"/>
    </row>
    <row r="79">
      <c r="A79" s="5" t="s">
        <v>45</v>
      </c>
      <c r="B79" s="5" t="s">
        <v>26</v>
      </c>
      <c r="C79" s="12">
        <v>9.0</v>
      </c>
      <c r="D79" s="12">
        <v>0.0</v>
      </c>
      <c r="E79" s="6">
        <v>0.0</v>
      </c>
      <c r="F79" s="12">
        <v>0.0</v>
      </c>
      <c r="G79" s="6">
        <v>0.0</v>
      </c>
      <c r="H79" s="12">
        <v>0.0</v>
      </c>
      <c r="I79" s="12">
        <v>0.0</v>
      </c>
      <c r="J79" s="12">
        <v>0.0</v>
      </c>
      <c r="K79" s="12">
        <v>0.0</v>
      </c>
      <c r="L79" s="15">
        <v>0.0</v>
      </c>
      <c r="M79" s="15">
        <v>0.0</v>
      </c>
      <c r="N79" s="15">
        <v>0.0</v>
      </c>
      <c r="O79" s="15">
        <v>0.0</v>
      </c>
      <c r="P79" s="8"/>
    </row>
    <row r="80">
      <c r="A80" s="5" t="s">
        <v>45</v>
      </c>
      <c r="B80" s="5" t="s">
        <v>27</v>
      </c>
      <c r="C80" s="12">
        <v>34.0</v>
      </c>
      <c r="D80" s="12">
        <v>7.0</v>
      </c>
      <c r="E80" s="6">
        <v>0.0</v>
      </c>
      <c r="F80" s="12">
        <v>0.0</v>
      </c>
      <c r="G80" s="6">
        <v>7.0</v>
      </c>
      <c r="H80" s="12">
        <v>7.0</v>
      </c>
      <c r="I80" s="12">
        <v>1.0</v>
      </c>
      <c r="J80" s="12">
        <v>1.0</v>
      </c>
      <c r="K80" s="12">
        <v>0.0</v>
      </c>
      <c r="L80" s="15">
        <v>0.2058823529411765</v>
      </c>
      <c r="M80" s="15">
        <v>0.2058823529411765</v>
      </c>
      <c r="N80" s="15">
        <v>0.02941176470588235</v>
      </c>
      <c r="O80" s="15">
        <v>0.1428571428571428</v>
      </c>
      <c r="P80" s="8" t="s">
        <v>49</v>
      </c>
    </row>
    <row r="81">
      <c r="A81" s="9"/>
      <c r="B81" s="9"/>
      <c r="C81" s="10">
        <f t="shared" ref="C81:J81" si="9">SUM(C69:C80)</f>
        <v>272</v>
      </c>
      <c r="D81" s="10">
        <f t="shared" si="9"/>
        <v>47</v>
      </c>
      <c r="E81" s="9">
        <f t="shared" si="9"/>
        <v>4</v>
      </c>
      <c r="F81" s="10">
        <f t="shared" si="9"/>
        <v>8</v>
      </c>
      <c r="G81" s="9">
        <f t="shared" si="9"/>
        <v>9</v>
      </c>
      <c r="H81" s="10">
        <f t="shared" si="9"/>
        <v>39</v>
      </c>
      <c r="I81" s="10">
        <f t="shared" si="9"/>
        <v>5</v>
      </c>
      <c r="J81" s="10">
        <f t="shared" si="9"/>
        <v>5</v>
      </c>
      <c r="K81" s="9"/>
      <c r="L81" s="16"/>
      <c r="M81" s="16"/>
      <c r="N81" s="16"/>
      <c r="O81" s="16"/>
      <c r="P81" s="14"/>
    </row>
    <row r="82">
      <c r="A82" s="5" t="s">
        <v>50</v>
      </c>
      <c r="B82" s="5" t="s">
        <v>17</v>
      </c>
      <c r="C82" s="12">
        <v>9.0</v>
      </c>
      <c r="D82" s="12">
        <v>1.0</v>
      </c>
      <c r="E82" s="6">
        <v>0.0</v>
      </c>
      <c r="F82" s="12">
        <v>1.0</v>
      </c>
      <c r="G82" s="6">
        <v>0.0</v>
      </c>
      <c r="H82" s="12">
        <v>0.0</v>
      </c>
      <c r="I82" s="12">
        <v>0.0</v>
      </c>
      <c r="J82" s="12">
        <v>0.0</v>
      </c>
      <c r="K82" s="12">
        <v>0.0</v>
      </c>
      <c r="L82" s="15">
        <v>0.1111111111111111</v>
      </c>
      <c r="M82" s="15">
        <v>0.0</v>
      </c>
      <c r="N82" s="15">
        <v>0.0</v>
      </c>
      <c r="O82" s="15">
        <v>0.0</v>
      </c>
      <c r="P82" s="8"/>
    </row>
    <row r="83">
      <c r="A83" s="5" t="s">
        <v>50</v>
      </c>
      <c r="B83" s="5" t="s">
        <v>18</v>
      </c>
      <c r="C83" s="12">
        <v>20.0</v>
      </c>
      <c r="D83" s="12">
        <v>4.0</v>
      </c>
      <c r="E83" s="6">
        <v>1.0</v>
      </c>
      <c r="F83" s="12">
        <v>3.0</v>
      </c>
      <c r="G83" s="6">
        <v>0.0</v>
      </c>
      <c r="H83" s="12">
        <v>1.0</v>
      </c>
      <c r="I83" s="12">
        <v>1.0</v>
      </c>
      <c r="J83" s="12">
        <v>1.0</v>
      </c>
      <c r="K83" s="12">
        <v>0.0</v>
      </c>
      <c r="L83" s="15">
        <v>0.2</v>
      </c>
      <c r="M83" s="15">
        <v>0.05</v>
      </c>
      <c r="N83" s="15">
        <v>0.05</v>
      </c>
      <c r="O83" s="15">
        <v>1.0</v>
      </c>
      <c r="P83" s="8" t="s">
        <v>51</v>
      </c>
    </row>
    <row r="84">
      <c r="A84" s="5" t="s">
        <v>50</v>
      </c>
      <c r="B84" s="5" t="s">
        <v>19</v>
      </c>
      <c r="C84" s="12">
        <v>22.0</v>
      </c>
      <c r="D84" s="12">
        <v>2.0</v>
      </c>
      <c r="E84" s="6">
        <v>0.0</v>
      </c>
      <c r="F84" s="12">
        <v>1.0</v>
      </c>
      <c r="G84" s="6">
        <v>0.0</v>
      </c>
      <c r="H84" s="12">
        <v>1.0</v>
      </c>
      <c r="I84" s="12">
        <v>0.0</v>
      </c>
      <c r="J84" s="12">
        <v>0.0</v>
      </c>
      <c r="K84" s="12">
        <v>0.0</v>
      </c>
      <c r="L84" s="15">
        <v>0.09090909090909091</v>
      </c>
      <c r="M84" s="15">
        <v>0.04545454545454546</v>
      </c>
      <c r="N84" s="15">
        <v>0.0</v>
      </c>
      <c r="O84" s="15">
        <v>0.0</v>
      </c>
      <c r="P84" s="8"/>
    </row>
    <row r="85">
      <c r="A85" s="5" t="s">
        <v>50</v>
      </c>
      <c r="B85" s="5" t="s">
        <v>20</v>
      </c>
      <c r="C85" s="12">
        <v>17.0</v>
      </c>
      <c r="D85" s="12">
        <v>3.0</v>
      </c>
      <c r="E85" s="6">
        <v>0.0</v>
      </c>
      <c r="F85" s="12">
        <v>0.0</v>
      </c>
      <c r="G85" s="6">
        <v>3.0</v>
      </c>
      <c r="H85" s="12">
        <v>3.0</v>
      </c>
      <c r="I85" s="12">
        <v>0.0</v>
      </c>
      <c r="J85" s="12">
        <v>0.0</v>
      </c>
      <c r="K85" s="12">
        <v>0.0</v>
      </c>
      <c r="L85" s="15">
        <v>0.1764705882352941</v>
      </c>
      <c r="M85" s="15">
        <v>0.1764705882352941</v>
      </c>
      <c r="N85" s="15">
        <v>0.0</v>
      </c>
      <c r="O85" s="15">
        <v>0.0</v>
      </c>
      <c r="P85" s="8"/>
    </row>
    <row r="86">
      <c r="A86" s="5" t="s">
        <v>50</v>
      </c>
      <c r="B86" s="5" t="s">
        <v>30</v>
      </c>
      <c r="C86" s="12">
        <v>3.0</v>
      </c>
      <c r="D86" s="12">
        <v>0.0</v>
      </c>
      <c r="E86" s="6">
        <v>0.0</v>
      </c>
      <c r="F86" s="12">
        <v>0.0</v>
      </c>
      <c r="G86" s="6">
        <v>0.0</v>
      </c>
      <c r="H86" s="12">
        <v>0.0</v>
      </c>
      <c r="I86" s="12">
        <v>0.0</v>
      </c>
      <c r="J86" s="12">
        <v>0.0</v>
      </c>
      <c r="K86" s="12">
        <v>0.0</v>
      </c>
      <c r="L86" s="15">
        <v>0.0</v>
      </c>
      <c r="M86" s="15">
        <v>0.0</v>
      </c>
      <c r="N86" s="15">
        <v>0.0</v>
      </c>
      <c r="O86" s="15">
        <v>0.0</v>
      </c>
      <c r="P86" s="8"/>
    </row>
    <row r="87">
      <c r="A87" s="5" t="s">
        <v>50</v>
      </c>
      <c r="B87" s="5" t="s">
        <v>21</v>
      </c>
      <c r="C87" s="12">
        <v>17.0</v>
      </c>
      <c r="D87" s="12">
        <v>4.0</v>
      </c>
      <c r="E87" s="6">
        <v>0.0</v>
      </c>
      <c r="F87" s="12">
        <v>1.0</v>
      </c>
      <c r="G87" s="6">
        <v>0.0</v>
      </c>
      <c r="H87" s="12">
        <v>3.0</v>
      </c>
      <c r="I87" s="12">
        <v>1.0</v>
      </c>
      <c r="J87" s="12">
        <v>1.0</v>
      </c>
      <c r="K87" s="12">
        <v>0.0</v>
      </c>
      <c r="L87" s="15">
        <v>0.2352941176470588</v>
      </c>
      <c r="M87" s="15">
        <v>0.1764705882352941</v>
      </c>
      <c r="N87" s="15">
        <v>0.05882352941176471</v>
      </c>
      <c r="O87" s="15">
        <v>0.3333333333333333</v>
      </c>
      <c r="P87" s="8" t="s">
        <v>52</v>
      </c>
    </row>
    <row r="88">
      <c r="A88" s="5" t="s">
        <v>50</v>
      </c>
      <c r="B88" s="5" t="s">
        <v>22</v>
      </c>
      <c r="C88" s="12">
        <v>26.0</v>
      </c>
      <c r="D88" s="12">
        <v>4.0</v>
      </c>
      <c r="E88" s="6">
        <v>0.0</v>
      </c>
      <c r="F88" s="12">
        <v>2.0</v>
      </c>
      <c r="G88" s="6">
        <v>0.0</v>
      </c>
      <c r="H88" s="12">
        <v>2.0</v>
      </c>
      <c r="I88" s="12">
        <v>4.0</v>
      </c>
      <c r="J88" s="12">
        <v>3.0</v>
      </c>
      <c r="K88" s="12">
        <v>1.0</v>
      </c>
      <c r="L88" s="15">
        <v>0.1538461538461539</v>
      </c>
      <c r="M88" s="15">
        <v>0.07692307692307693</v>
      </c>
      <c r="N88" s="15">
        <v>0.1153846153846154</v>
      </c>
      <c r="O88" s="15">
        <v>1.5</v>
      </c>
      <c r="P88" s="8" t="s">
        <v>53</v>
      </c>
    </row>
    <row r="89">
      <c r="A89" s="5" t="s">
        <v>50</v>
      </c>
      <c r="B89" s="5" t="s">
        <v>31</v>
      </c>
      <c r="C89" s="12">
        <v>13.0</v>
      </c>
      <c r="D89" s="12">
        <v>9.0</v>
      </c>
      <c r="E89" s="6">
        <v>1.0</v>
      </c>
      <c r="F89" s="12">
        <v>2.0</v>
      </c>
      <c r="G89" s="6">
        <v>0.0</v>
      </c>
      <c r="H89" s="12">
        <v>7.0</v>
      </c>
      <c r="I89" s="12">
        <v>3.0</v>
      </c>
      <c r="J89" s="12">
        <v>2.0</v>
      </c>
      <c r="K89" s="12">
        <v>1.0</v>
      </c>
      <c r="L89" s="15">
        <v>0.6923076923076923</v>
      </c>
      <c r="M89" s="15">
        <v>0.5384615384615384</v>
      </c>
      <c r="N89" s="15">
        <v>0.1538461538461539</v>
      </c>
      <c r="O89" s="15">
        <v>0.2857142857142857</v>
      </c>
      <c r="P89" s="8" t="s">
        <v>54</v>
      </c>
    </row>
    <row r="90">
      <c r="A90" s="5" t="s">
        <v>50</v>
      </c>
      <c r="B90" s="5" t="s">
        <v>23</v>
      </c>
      <c r="C90" s="12">
        <v>6.0</v>
      </c>
      <c r="D90" s="12">
        <v>2.0</v>
      </c>
      <c r="E90" s="6">
        <v>0.0</v>
      </c>
      <c r="F90" s="12">
        <v>0.0</v>
      </c>
      <c r="G90" s="6">
        <v>2.0</v>
      </c>
      <c r="H90" s="12">
        <v>2.0</v>
      </c>
      <c r="I90" s="12">
        <v>0.0</v>
      </c>
      <c r="J90" s="12">
        <v>0.0</v>
      </c>
      <c r="K90" s="12">
        <v>0.0</v>
      </c>
      <c r="L90" s="15">
        <v>0.3333333333333333</v>
      </c>
      <c r="M90" s="15">
        <v>0.3333333333333333</v>
      </c>
      <c r="N90" s="15">
        <v>0.0</v>
      </c>
      <c r="O90" s="15">
        <v>0.0</v>
      </c>
      <c r="P90" s="8"/>
    </row>
    <row r="91">
      <c r="A91" s="5" t="s">
        <v>50</v>
      </c>
      <c r="B91" s="5" t="s">
        <v>24</v>
      </c>
      <c r="C91" s="12">
        <v>1.0</v>
      </c>
      <c r="D91" s="12">
        <v>0.0</v>
      </c>
      <c r="E91" s="6">
        <v>0.0</v>
      </c>
      <c r="F91" s="12">
        <v>0.0</v>
      </c>
      <c r="G91" s="6">
        <v>0.0</v>
      </c>
      <c r="H91" s="12">
        <v>0.0</v>
      </c>
      <c r="I91" s="12">
        <v>1.0</v>
      </c>
      <c r="J91" s="12">
        <v>1.0</v>
      </c>
      <c r="K91" s="12">
        <v>0.0</v>
      </c>
      <c r="L91" s="15">
        <v>0.0</v>
      </c>
      <c r="M91" s="15">
        <v>0.0</v>
      </c>
      <c r="N91" s="15">
        <v>1.0</v>
      </c>
      <c r="O91" s="15">
        <v>0.0</v>
      </c>
      <c r="P91" s="8" t="s">
        <v>55</v>
      </c>
    </row>
    <row r="92">
      <c r="A92" s="5" t="s">
        <v>50</v>
      </c>
      <c r="B92" s="5" t="s">
        <v>25</v>
      </c>
      <c r="C92" s="12">
        <v>10.0</v>
      </c>
      <c r="D92" s="12">
        <v>1.0</v>
      </c>
      <c r="E92" s="6">
        <v>0.0</v>
      </c>
      <c r="F92" s="12">
        <v>0.0</v>
      </c>
      <c r="G92" s="6">
        <v>0.0</v>
      </c>
      <c r="H92" s="12">
        <v>1.0</v>
      </c>
      <c r="I92" s="12">
        <v>0.0</v>
      </c>
      <c r="J92" s="12">
        <v>0.0</v>
      </c>
      <c r="K92" s="12">
        <v>0.0</v>
      </c>
      <c r="L92" s="15">
        <v>0.1</v>
      </c>
      <c r="M92" s="15">
        <v>0.1</v>
      </c>
      <c r="N92" s="15">
        <v>0.0</v>
      </c>
      <c r="O92" s="15">
        <v>0.0</v>
      </c>
      <c r="P92" s="8"/>
    </row>
    <row r="93">
      <c r="A93" s="5" t="s">
        <v>50</v>
      </c>
      <c r="B93" s="5" t="s">
        <v>26</v>
      </c>
      <c r="C93" s="12">
        <v>16.0</v>
      </c>
      <c r="D93" s="12">
        <v>8.0</v>
      </c>
      <c r="E93" s="6">
        <v>0.0</v>
      </c>
      <c r="F93" s="12">
        <v>2.0</v>
      </c>
      <c r="G93" s="6">
        <v>0.0</v>
      </c>
      <c r="H93" s="12">
        <v>6.0</v>
      </c>
      <c r="I93" s="12">
        <v>1.0</v>
      </c>
      <c r="J93" s="12">
        <v>1.0</v>
      </c>
      <c r="K93" s="12">
        <v>0.0</v>
      </c>
      <c r="L93" s="15">
        <v>0.5</v>
      </c>
      <c r="M93" s="15">
        <v>0.375</v>
      </c>
      <c r="N93" s="15">
        <v>0.0625</v>
      </c>
      <c r="O93" s="15">
        <v>0.1666666666666667</v>
      </c>
      <c r="P93" s="8" t="s">
        <v>56</v>
      </c>
    </row>
    <row r="94">
      <c r="A94" s="5" t="s">
        <v>50</v>
      </c>
      <c r="B94" s="5" t="s">
        <v>27</v>
      </c>
      <c r="C94" s="12">
        <v>7.0</v>
      </c>
      <c r="D94" s="12">
        <v>11.0</v>
      </c>
      <c r="E94" s="6">
        <v>3.0</v>
      </c>
      <c r="F94" s="12">
        <v>0.0</v>
      </c>
      <c r="G94" s="6">
        <v>8.0</v>
      </c>
      <c r="H94" s="12">
        <v>11.0</v>
      </c>
      <c r="I94" s="12">
        <v>1.0</v>
      </c>
      <c r="J94" s="12">
        <v>1.0</v>
      </c>
      <c r="K94" s="12">
        <v>0.0</v>
      </c>
      <c r="L94" s="15">
        <v>1.571428571428571</v>
      </c>
      <c r="M94" s="15">
        <v>1.571428571428571</v>
      </c>
      <c r="N94" s="15">
        <v>0.1428571428571428</v>
      </c>
      <c r="O94" s="15">
        <v>0.09090909090909091</v>
      </c>
      <c r="P94" s="8" t="s">
        <v>57</v>
      </c>
    </row>
    <row r="95">
      <c r="A95" s="17"/>
      <c r="B95" s="17"/>
      <c r="C95" s="18">
        <f t="shared" ref="C95:J95" si="10">SUM(C82:C94)</f>
        <v>167</v>
      </c>
      <c r="D95" s="18">
        <f t="shared" si="10"/>
        <v>49</v>
      </c>
      <c r="E95" s="18">
        <f t="shared" si="10"/>
        <v>5</v>
      </c>
      <c r="F95" s="18">
        <f t="shared" si="10"/>
        <v>12</v>
      </c>
      <c r="G95" s="18">
        <f t="shared" si="10"/>
        <v>13</v>
      </c>
      <c r="H95" s="18">
        <f t="shared" si="10"/>
        <v>37</v>
      </c>
      <c r="I95" s="18">
        <f t="shared" si="10"/>
        <v>12</v>
      </c>
      <c r="J95" s="18">
        <f t="shared" si="10"/>
        <v>10</v>
      </c>
      <c r="K95" s="18">
        <f>SUM(K81:K93)</f>
        <v>2</v>
      </c>
      <c r="L95" s="19"/>
      <c r="M95" s="19"/>
      <c r="N95" s="19"/>
      <c r="O95" s="19"/>
      <c r="P95" s="20"/>
    </row>
    <row r="96">
      <c r="A96" s="5" t="s">
        <v>58</v>
      </c>
      <c r="B96" s="5" t="s">
        <v>18</v>
      </c>
      <c r="C96" s="12">
        <v>4.0</v>
      </c>
      <c r="D96" s="12">
        <v>10.0</v>
      </c>
      <c r="E96" s="12">
        <v>1.0</v>
      </c>
      <c r="F96" s="12">
        <v>2.0</v>
      </c>
      <c r="G96" s="12">
        <v>0.0</v>
      </c>
      <c r="H96" s="12">
        <v>8.0</v>
      </c>
      <c r="I96" s="12">
        <v>4.0</v>
      </c>
      <c r="J96" s="12">
        <v>3.0</v>
      </c>
      <c r="K96" s="12">
        <v>1.0</v>
      </c>
      <c r="L96" s="13">
        <v>2.5</v>
      </c>
      <c r="M96" s="13">
        <v>2.0</v>
      </c>
      <c r="N96" s="13">
        <v>0.75</v>
      </c>
      <c r="O96" s="13">
        <v>0.375</v>
      </c>
      <c r="P96" s="8" t="s">
        <v>59</v>
      </c>
    </row>
    <row r="97">
      <c r="A97" s="5" t="s">
        <v>58</v>
      </c>
      <c r="B97" s="5" t="s">
        <v>19</v>
      </c>
      <c r="C97" s="12">
        <v>6.0</v>
      </c>
      <c r="D97" s="12">
        <v>3.0</v>
      </c>
      <c r="E97" s="12">
        <v>0.0</v>
      </c>
      <c r="F97" s="12">
        <v>0.0</v>
      </c>
      <c r="G97" s="12">
        <v>0.0</v>
      </c>
      <c r="H97" s="12">
        <v>3.0</v>
      </c>
      <c r="I97" s="12">
        <v>1.0</v>
      </c>
      <c r="J97" s="12">
        <v>0.0</v>
      </c>
      <c r="K97" s="12">
        <v>1.0</v>
      </c>
      <c r="L97" s="13">
        <v>0.5</v>
      </c>
      <c r="M97" s="13">
        <v>0.5</v>
      </c>
      <c r="N97" s="13">
        <v>0.0</v>
      </c>
      <c r="O97" s="13">
        <v>0.0</v>
      </c>
      <c r="P97" s="8" t="s">
        <v>60</v>
      </c>
    </row>
    <row r="98">
      <c r="A98" s="5" t="s">
        <v>58</v>
      </c>
      <c r="B98" s="5" t="s">
        <v>20</v>
      </c>
      <c r="C98" s="12">
        <v>11.0</v>
      </c>
      <c r="D98" s="12">
        <v>3.0</v>
      </c>
      <c r="E98" s="12">
        <v>0.0</v>
      </c>
      <c r="F98" s="12">
        <v>0.0</v>
      </c>
      <c r="G98" s="12">
        <v>3.0</v>
      </c>
      <c r="H98" s="12">
        <v>3.0</v>
      </c>
      <c r="I98" s="12">
        <v>1.0</v>
      </c>
      <c r="J98" s="12">
        <v>0.0</v>
      </c>
      <c r="K98" s="12">
        <v>1.0</v>
      </c>
      <c r="L98" s="13">
        <v>0.2727272727272727</v>
      </c>
      <c r="M98" s="13">
        <v>0.2727272727272727</v>
      </c>
      <c r="N98" s="13">
        <v>0.0</v>
      </c>
      <c r="O98" s="13">
        <v>0.0</v>
      </c>
      <c r="P98" s="8" t="s">
        <v>61</v>
      </c>
    </row>
    <row r="99">
      <c r="A99" s="5" t="s">
        <v>58</v>
      </c>
      <c r="B99" s="5" t="s">
        <v>30</v>
      </c>
      <c r="C99" s="12">
        <v>1.0</v>
      </c>
      <c r="D99" s="12">
        <v>2.0</v>
      </c>
      <c r="E99" s="12">
        <v>0.0</v>
      </c>
      <c r="F99" s="12">
        <v>0.0</v>
      </c>
      <c r="G99" s="12">
        <v>0.0</v>
      </c>
      <c r="H99" s="12">
        <v>2.0</v>
      </c>
      <c r="I99" s="12">
        <v>0.0</v>
      </c>
      <c r="J99" s="12">
        <v>0.0</v>
      </c>
      <c r="K99" s="12">
        <v>0.0</v>
      </c>
      <c r="L99" s="13">
        <v>2.0</v>
      </c>
      <c r="M99" s="13">
        <v>2.0</v>
      </c>
      <c r="N99" s="13">
        <v>0.0</v>
      </c>
      <c r="O99" s="13">
        <v>0.0</v>
      </c>
      <c r="P99" s="8"/>
    </row>
    <row r="100">
      <c r="A100" s="5" t="s">
        <v>58</v>
      </c>
      <c r="B100" s="5" t="s">
        <v>21</v>
      </c>
      <c r="C100" s="12">
        <v>4.0</v>
      </c>
      <c r="D100" s="12">
        <v>9.0</v>
      </c>
      <c r="E100" s="12">
        <v>0.0</v>
      </c>
      <c r="F100" s="12">
        <v>4.0</v>
      </c>
      <c r="G100" s="12">
        <v>0.0</v>
      </c>
      <c r="H100" s="12">
        <v>5.0</v>
      </c>
      <c r="I100" s="12">
        <v>0.0</v>
      </c>
      <c r="J100" s="12">
        <v>0.0</v>
      </c>
      <c r="K100" s="12">
        <v>0.0</v>
      </c>
      <c r="L100" s="13">
        <v>2.25</v>
      </c>
      <c r="M100" s="13">
        <v>1.25</v>
      </c>
      <c r="N100" s="13">
        <v>0.0</v>
      </c>
      <c r="O100" s="13">
        <v>0.0</v>
      </c>
      <c r="P100" s="8"/>
    </row>
    <row r="101">
      <c r="A101" s="5" t="s">
        <v>58</v>
      </c>
      <c r="B101" s="5" t="s">
        <v>22</v>
      </c>
      <c r="C101" s="12">
        <v>9.0</v>
      </c>
      <c r="D101" s="12">
        <v>10.0</v>
      </c>
      <c r="E101" s="12">
        <v>1.0</v>
      </c>
      <c r="F101" s="12">
        <v>4.0</v>
      </c>
      <c r="G101" s="12">
        <v>0.0</v>
      </c>
      <c r="H101" s="12">
        <v>6.0</v>
      </c>
      <c r="I101" s="12">
        <v>0.0</v>
      </c>
      <c r="J101" s="12">
        <v>0.0</v>
      </c>
      <c r="K101" s="12">
        <v>0.0</v>
      </c>
      <c r="L101" s="13">
        <v>1.111111111111111</v>
      </c>
      <c r="M101" s="13">
        <v>0.6666666666666666</v>
      </c>
      <c r="N101" s="13">
        <v>0.0</v>
      </c>
      <c r="O101" s="13">
        <v>0.0</v>
      </c>
      <c r="P101" s="8"/>
    </row>
    <row r="102">
      <c r="A102" s="5" t="s">
        <v>58</v>
      </c>
      <c r="B102" s="5" t="s">
        <v>31</v>
      </c>
      <c r="C102" s="12">
        <v>3.0</v>
      </c>
      <c r="D102" s="12">
        <v>6.0</v>
      </c>
      <c r="E102" s="12">
        <v>1.0</v>
      </c>
      <c r="F102" s="12">
        <v>2.0</v>
      </c>
      <c r="G102" s="12">
        <v>0.0</v>
      </c>
      <c r="H102" s="12">
        <v>4.0</v>
      </c>
      <c r="I102" s="12">
        <v>3.0</v>
      </c>
      <c r="J102" s="12">
        <v>3.0</v>
      </c>
      <c r="K102" s="12">
        <v>0.0</v>
      </c>
      <c r="L102" s="13">
        <v>2.0</v>
      </c>
      <c r="M102" s="13">
        <v>1.333333333333333</v>
      </c>
      <c r="N102" s="13">
        <v>1.0</v>
      </c>
      <c r="O102" s="13">
        <v>0.75</v>
      </c>
      <c r="P102" s="8" t="s">
        <v>62</v>
      </c>
    </row>
    <row r="103">
      <c r="A103" s="5" t="s">
        <v>58</v>
      </c>
      <c r="B103" s="5" t="s">
        <v>23</v>
      </c>
      <c r="C103" s="12">
        <v>1.0</v>
      </c>
      <c r="D103" s="12">
        <v>1.0</v>
      </c>
      <c r="E103" s="12">
        <v>0.0</v>
      </c>
      <c r="F103" s="12">
        <v>0.0</v>
      </c>
      <c r="G103" s="12">
        <v>1.0</v>
      </c>
      <c r="H103" s="12">
        <v>1.0</v>
      </c>
      <c r="I103" s="12">
        <v>0.0</v>
      </c>
      <c r="J103" s="12">
        <v>0.0</v>
      </c>
      <c r="K103" s="12">
        <v>0.0</v>
      </c>
      <c r="L103" s="13">
        <v>1.0</v>
      </c>
      <c r="M103" s="13">
        <v>1.0</v>
      </c>
      <c r="N103" s="13">
        <v>0.0</v>
      </c>
      <c r="O103" s="13">
        <v>0.0</v>
      </c>
      <c r="P103" s="8"/>
    </row>
    <row r="104">
      <c r="A104" s="5" t="s">
        <v>58</v>
      </c>
      <c r="B104" s="5" t="s">
        <v>24</v>
      </c>
      <c r="C104" s="12">
        <v>1.0</v>
      </c>
      <c r="D104" s="12">
        <v>0.0</v>
      </c>
      <c r="E104" s="12">
        <v>0.0</v>
      </c>
      <c r="F104" s="12">
        <v>0.0</v>
      </c>
      <c r="G104" s="12">
        <v>0.0</v>
      </c>
      <c r="H104" s="12">
        <v>0.0</v>
      </c>
      <c r="I104" s="12">
        <v>0.0</v>
      </c>
      <c r="J104" s="12">
        <v>0.0</v>
      </c>
      <c r="K104" s="12">
        <v>0.0</v>
      </c>
      <c r="L104" s="13">
        <v>0.0</v>
      </c>
      <c r="M104" s="13">
        <v>0.0</v>
      </c>
      <c r="N104" s="13">
        <v>0.0</v>
      </c>
      <c r="O104" s="13">
        <v>0.0</v>
      </c>
      <c r="P104" s="8"/>
    </row>
    <row r="105">
      <c r="A105" s="5" t="s">
        <v>58</v>
      </c>
      <c r="B105" s="5" t="s">
        <v>25</v>
      </c>
      <c r="C105" s="12">
        <v>4.0</v>
      </c>
      <c r="D105" s="12">
        <v>5.0</v>
      </c>
      <c r="E105" s="12">
        <v>1.0</v>
      </c>
      <c r="F105" s="12">
        <v>1.0</v>
      </c>
      <c r="G105" s="12">
        <v>0.0</v>
      </c>
      <c r="H105" s="12">
        <v>4.0</v>
      </c>
      <c r="I105" s="12">
        <v>1.0</v>
      </c>
      <c r="J105" s="12">
        <v>1.0</v>
      </c>
      <c r="K105" s="12">
        <v>0.0</v>
      </c>
      <c r="L105" s="13">
        <v>1.25</v>
      </c>
      <c r="M105" s="13">
        <v>1.0</v>
      </c>
      <c r="N105" s="13">
        <v>0.25</v>
      </c>
      <c r="O105" s="13">
        <v>0.25</v>
      </c>
      <c r="P105" s="8" t="s">
        <v>63</v>
      </c>
    </row>
    <row r="106">
      <c r="A106" s="5" t="s">
        <v>58</v>
      </c>
      <c r="B106" s="5" t="s">
        <v>26</v>
      </c>
      <c r="C106" s="12">
        <v>3.0</v>
      </c>
      <c r="D106" s="12">
        <v>6.0</v>
      </c>
      <c r="E106" s="12">
        <v>0.0</v>
      </c>
      <c r="F106" s="12">
        <v>2.0</v>
      </c>
      <c r="G106" s="12">
        <v>0.0</v>
      </c>
      <c r="H106" s="12">
        <v>4.0</v>
      </c>
      <c r="I106" s="12">
        <v>3.0</v>
      </c>
      <c r="J106" s="12">
        <v>2.0</v>
      </c>
      <c r="K106" s="12">
        <v>1.0</v>
      </c>
      <c r="L106" s="13">
        <v>2.0</v>
      </c>
      <c r="M106" s="13">
        <v>1.333333333333333</v>
      </c>
      <c r="N106" s="13">
        <v>0.6666666666666666</v>
      </c>
      <c r="O106" s="13">
        <v>0.5</v>
      </c>
      <c r="P106" s="8" t="s">
        <v>64</v>
      </c>
    </row>
    <row r="107">
      <c r="A107" s="9"/>
      <c r="B107" s="9"/>
      <c r="C107" s="10">
        <f t="shared" ref="C107:K107" si="11">SUM(C96:C106)</f>
        <v>47</v>
      </c>
      <c r="D107" s="10">
        <f t="shared" si="11"/>
        <v>55</v>
      </c>
      <c r="E107" s="10">
        <f t="shared" si="11"/>
        <v>4</v>
      </c>
      <c r="F107" s="10">
        <f t="shared" si="11"/>
        <v>15</v>
      </c>
      <c r="G107" s="10">
        <f t="shared" si="11"/>
        <v>4</v>
      </c>
      <c r="H107" s="10">
        <f t="shared" si="11"/>
        <v>40</v>
      </c>
      <c r="I107" s="10">
        <f t="shared" si="11"/>
        <v>13</v>
      </c>
      <c r="J107" s="10">
        <f t="shared" si="11"/>
        <v>9</v>
      </c>
      <c r="K107" s="10">
        <f t="shared" si="11"/>
        <v>4</v>
      </c>
      <c r="L107" s="16"/>
      <c r="M107" s="16"/>
      <c r="N107" s="16"/>
      <c r="O107" s="16"/>
      <c r="P107" s="14"/>
    </row>
    <row r="108">
      <c r="A108" s="5" t="s">
        <v>65</v>
      </c>
      <c r="B108" s="5" t="s">
        <v>17</v>
      </c>
      <c r="C108" s="12">
        <v>11.0</v>
      </c>
      <c r="D108" s="12">
        <v>1.0</v>
      </c>
      <c r="E108" s="12">
        <v>0.0</v>
      </c>
      <c r="F108" s="12">
        <v>0.0</v>
      </c>
      <c r="G108" s="12">
        <v>0.0</v>
      </c>
      <c r="H108" s="12">
        <v>1.0</v>
      </c>
      <c r="I108" s="12">
        <v>0.0</v>
      </c>
      <c r="J108" s="12">
        <v>0.0</v>
      </c>
      <c r="K108" s="12">
        <v>0.0</v>
      </c>
      <c r="L108" s="15">
        <v>0.09090909090909091</v>
      </c>
      <c r="M108" s="15">
        <v>0.09090909090909091</v>
      </c>
      <c r="N108" s="15">
        <v>0.0</v>
      </c>
      <c r="O108" s="15">
        <v>0.0</v>
      </c>
      <c r="P108" s="8"/>
    </row>
    <row r="109">
      <c r="A109" s="5" t="s">
        <v>65</v>
      </c>
      <c r="B109" s="5" t="s">
        <v>18</v>
      </c>
      <c r="C109" s="12">
        <v>17.0</v>
      </c>
      <c r="D109" s="12">
        <v>0.0</v>
      </c>
      <c r="E109" s="12">
        <v>0.0</v>
      </c>
      <c r="F109" s="12">
        <v>0.0</v>
      </c>
      <c r="G109" s="12">
        <v>0.0</v>
      </c>
      <c r="H109" s="12">
        <v>0.0</v>
      </c>
      <c r="I109" s="12">
        <v>0.0</v>
      </c>
      <c r="J109" s="12">
        <v>0.0</v>
      </c>
      <c r="K109" s="12">
        <v>0.0</v>
      </c>
      <c r="L109" s="15">
        <v>0.0</v>
      </c>
      <c r="M109" s="15">
        <v>0.0</v>
      </c>
      <c r="N109" s="15">
        <v>0.0</v>
      </c>
      <c r="O109" s="15">
        <v>0.0</v>
      </c>
      <c r="P109" s="8"/>
    </row>
    <row r="110">
      <c r="A110" s="5" t="s">
        <v>65</v>
      </c>
      <c r="B110" s="5" t="s">
        <v>19</v>
      </c>
      <c r="C110" s="12">
        <v>16.0</v>
      </c>
      <c r="D110" s="12">
        <v>4.0</v>
      </c>
      <c r="E110" s="12">
        <v>0.0</v>
      </c>
      <c r="F110" s="12">
        <v>3.0</v>
      </c>
      <c r="G110" s="12">
        <v>0.0</v>
      </c>
      <c r="H110" s="12">
        <v>1.0</v>
      </c>
      <c r="I110" s="12">
        <v>0.0</v>
      </c>
      <c r="J110" s="12">
        <v>0.0</v>
      </c>
      <c r="K110" s="12">
        <v>0.0</v>
      </c>
      <c r="L110" s="15">
        <v>0.25</v>
      </c>
      <c r="M110" s="15">
        <v>0.0625</v>
      </c>
      <c r="N110" s="15">
        <v>0.0</v>
      </c>
      <c r="O110" s="15">
        <v>0.0</v>
      </c>
      <c r="P110" s="8"/>
    </row>
    <row r="111">
      <c r="A111" s="5" t="s">
        <v>65</v>
      </c>
      <c r="B111" s="5" t="s">
        <v>20</v>
      </c>
      <c r="C111" s="12">
        <v>15.0</v>
      </c>
      <c r="D111" s="12">
        <v>0.0</v>
      </c>
      <c r="E111" s="12">
        <v>0.0</v>
      </c>
      <c r="F111" s="12">
        <v>0.0</v>
      </c>
      <c r="G111" s="12">
        <v>0.0</v>
      </c>
      <c r="H111" s="12">
        <v>0.0</v>
      </c>
      <c r="I111" s="12">
        <v>0.0</v>
      </c>
      <c r="J111" s="12">
        <v>0.0</v>
      </c>
      <c r="K111" s="12">
        <v>0.0</v>
      </c>
      <c r="L111" s="15">
        <v>0.0</v>
      </c>
      <c r="M111" s="15">
        <v>0.0</v>
      </c>
      <c r="N111" s="15">
        <v>0.0</v>
      </c>
      <c r="O111" s="15">
        <v>0.0</v>
      </c>
      <c r="P111" s="8"/>
    </row>
    <row r="112">
      <c r="A112" s="5" t="s">
        <v>65</v>
      </c>
      <c r="B112" s="5" t="s">
        <v>30</v>
      </c>
      <c r="C112" s="12">
        <v>4.0</v>
      </c>
      <c r="D112" s="12">
        <v>0.0</v>
      </c>
      <c r="E112" s="12">
        <v>0.0</v>
      </c>
      <c r="F112" s="12">
        <v>0.0</v>
      </c>
      <c r="G112" s="12">
        <v>0.0</v>
      </c>
      <c r="H112" s="12">
        <v>0.0</v>
      </c>
      <c r="I112" s="12">
        <v>0.0</v>
      </c>
      <c r="J112" s="12">
        <v>0.0</v>
      </c>
      <c r="K112" s="12">
        <v>0.0</v>
      </c>
      <c r="L112" s="15">
        <v>0.0</v>
      </c>
      <c r="M112" s="15">
        <v>0.0</v>
      </c>
      <c r="N112" s="15">
        <v>0.0</v>
      </c>
      <c r="O112" s="15">
        <v>0.0</v>
      </c>
      <c r="P112" s="8"/>
    </row>
    <row r="113">
      <c r="A113" s="5" t="s">
        <v>65</v>
      </c>
      <c r="B113" s="5" t="s">
        <v>21</v>
      </c>
      <c r="C113" s="12">
        <v>13.0</v>
      </c>
      <c r="D113" s="12">
        <v>0.0</v>
      </c>
      <c r="E113" s="12">
        <v>0.0</v>
      </c>
      <c r="F113" s="12">
        <v>0.0</v>
      </c>
      <c r="G113" s="12">
        <v>0.0</v>
      </c>
      <c r="H113" s="12">
        <v>0.0</v>
      </c>
      <c r="I113" s="12">
        <v>0.0</v>
      </c>
      <c r="J113" s="12">
        <v>0.0</v>
      </c>
      <c r="K113" s="12">
        <v>0.0</v>
      </c>
      <c r="L113" s="15">
        <v>0.0</v>
      </c>
      <c r="M113" s="15">
        <v>0.0</v>
      </c>
      <c r="N113" s="15">
        <v>0.0</v>
      </c>
      <c r="O113" s="15">
        <v>0.0</v>
      </c>
      <c r="P113" s="8"/>
    </row>
    <row r="114">
      <c r="A114" s="5" t="s">
        <v>65</v>
      </c>
      <c r="B114" s="5" t="s">
        <v>22</v>
      </c>
      <c r="C114" s="12">
        <v>14.0</v>
      </c>
      <c r="D114" s="12">
        <v>3.0</v>
      </c>
      <c r="E114" s="12">
        <v>1.0</v>
      </c>
      <c r="F114" s="12">
        <v>1.0</v>
      </c>
      <c r="G114" s="12">
        <v>0.0</v>
      </c>
      <c r="H114" s="12">
        <v>2.0</v>
      </c>
      <c r="I114" s="12">
        <v>1.0</v>
      </c>
      <c r="J114" s="12">
        <v>0.0</v>
      </c>
      <c r="K114" s="12">
        <v>1.0</v>
      </c>
      <c r="L114" s="15">
        <v>0.2142857142857143</v>
      </c>
      <c r="M114" s="15">
        <v>0.1428571428571428</v>
      </c>
      <c r="N114" s="15">
        <v>0.0</v>
      </c>
      <c r="O114" s="15">
        <v>0.0</v>
      </c>
      <c r="P114" s="8" t="s">
        <v>66</v>
      </c>
    </row>
    <row r="115">
      <c r="A115" s="5" t="s">
        <v>65</v>
      </c>
      <c r="B115" s="5" t="s">
        <v>31</v>
      </c>
      <c r="C115" s="12">
        <v>8.0</v>
      </c>
      <c r="D115" s="12">
        <v>2.0</v>
      </c>
      <c r="E115" s="12">
        <v>0.0</v>
      </c>
      <c r="F115" s="12">
        <v>0.0</v>
      </c>
      <c r="G115" s="12">
        <v>0.0</v>
      </c>
      <c r="H115" s="12">
        <v>2.0</v>
      </c>
      <c r="I115" s="12">
        <v>1.0</v>
      </c>
      <c r="J115" s="12">
        <v>0.0</v>
      </c>
      <c r="K115" s="12">
        <v>1.0</v>
      </c>
      <c r="L115" s="15">
        <v>0.25</v>
      </c>
      <c r="M115" s="15">
        <v>0.25</v>
      </c>
      <c r="N115" s="15">
        <v>0.0</v>
      </c>
      <c r="O115" s="15">
        <v>0.0</v>
      </c>
      <c r="P115" s="8" t="s">
        <v>67</v>
      </c>
    </row>
    <row r="116">
      <c r="A116" s="5" t="s">
        <v>65</v>
      </c>
      <c r="B116" s="5" t="s">
        <v>23</v>
      </c>
      <c r="C116" s="12">
        <v>1.0</v>
      </c>
      <c r="D116" s="12">
        <v>1.0</v>
      </c>
      <c r="E116" s="12">
        <v>0.0</v>
      </c>
      <c r="F116" s="12">
        <v>0.0</v>
      </c>
      <c r="G116" s="12">
        <v>1.0</v>
      </c>
      <c r="H116" s="12">
        <v>1.0</v>
      </c>
      <c r="I116" s="12">
        <v>1.0</v>
      </c>
      <c r="J116" s="12">
        <v>1.0</v>
      </c>
      <c r="K116" s="12">
        <v>0.0</v>
      </c>
      <c r="L116" s="15">
        <v>1.0</v>
      </c>
      <c r="M116" s="15">
        <v>1.0</v>
      </c>
      <c r="N116" s="15">
        <v>1.0</v>
      </c>
      <c r="O116" s="15">
        <v>1.0</v>
      </c>
      <c r="P116" s="8" t="s">
        <v>68</v>
      </c>
    </row>
    <row r="117">
      <c r="A117" s="5" t="s">
        <v>65</v>
      </c>
      <c r="B117" s="5" t="s">
        <v>24</v>
      </c>
      <c r="C117" s="12">
        <v>1.0</v>
      </c>
      <c r="D117" s="12">
        <v>0.0</v>
      </c>
      <c r="E117" s="12">
        <v>0.0</v>
      </c>
      <c r="F117" s="12">
        <v>0.0</v>
      </c>
      <c r="G117" s="12">
        <v>0.0</v>
      </c>
      <c r="H117" s="12">
        <v>0.0</v>
      </c>
      <c r="I117" s="12">
        <v>0.0</v>
      </c>
      <c r="J117" s="12">
        <v>0.0</v>
      </c>
      <c r="K117" s="12">
        <v>0.0</v>
      </c>
      <c r="L117" s="15">
        <v>0.0</v>
      </c>
      <c r="M117" s="15">
        <v>0.0</v>
      </c>
      <c r="N117" s="15">
        <v>0.0</v>
      </c>
      <c r="O117" s="15">
        <v>0.0</v>
      </c>
      <c r="P117" s="8"/>
    </row>
    <row r="118">
      <c r="A118" s="5" t="s">
        <v>65</v>
      </c>
      <c r="B118" s="5" t="s">
        <v>25</v>
      </c>
      <c r="C118" s="12">
        <v>0.0</v>
      </c>
      <c r="D118" s="12">
        <v>2.0</v>
      </c>
      <c r="E118" s="12">
        <v>0.0</v>
      </c>
      <c r="F118" s="12">
        <v>2.0</v>
      </c>
      <c r="G118" s="12">
        <v>0.0</v>
      </c>
      <c r="H118" s="12">
        <v>0.0</v>
      </c>
      <c r="I118" s="12">
        <v>0.0</v>
      </c>
      <c r="J118" s="12">
        <v>0.0</v>
      </c>
      <c r="K118" s="12">
        <v>0.0</v>
      </c>
      <c r="L118" s="15">
        <v>0.0</v>
      </c>
      <c r="M118" s="15">
        <v>0.0</v>
      </c>
      <c r="N118" s="15">
        <v>0.0</v>
      </c>
      <c r="O118" s="15">
        <v>0.0</v>
      </c>
      <c r="P118" s="8"/>
    </row>
    <row r="119">
      <c r="A119" s="5" t="s">
        <v>65</v>
      </c>
      <c r="B119" s="5" t="s">
        <v>26</v>
      </c>
      <c r="C119" s="12">
        <v>4.0</v>
      </c>
      <c r="D119" s="12">
        <v>2.0</v>
      </c>
      <c r="E119" s="12">
        <v>0.0</v>
      </c>
      <c r="F119" s="12">
        <v>1.0</v>
      </c>
      <c r="G119" s="12">
        <v>0.0</v>
      </c>
      <c r="H119" s="12">
        <v>1.0</v>
      </c>
      <c r="I119" s="12">
        <v>2.0</v>
      </c>
      <c r="J119" s="12">
        <v>1.0</v>
      </c>
      <c r="K119" s="12">
        <v>1.0</v>
      </c>
      <c r="L119" s="15">
        <v>0.5</v>
      </c>
      <c r="M119" s="15">
        <v>0.25</v>
      </c>
      <c r="N119" s="15">
        <v>0.25</v>
      </c>
      <c r="O119" s="15">
        <v>1.0</v>
      </c>
      <c r="P119" s="8" t="s">
        <v>69</v>
      </c>
    </row>
    <row r="120">
      <c r="A120" s="9"/>
      <c r="B120" s="9"/>
      <c r="C120" s="10">
        <f t="shared" ref="C120:K120" si="12">SUM(C108:C119)</f>
        <v>104</v>
      </c>
      <c r="D120" s="10">
        <f t="shared" si="12"/>
        <v>15</v>
      </c>
      <c r="E120" s="10">
        <f t="shared" si="12"/>
        <v>1</v>
      </c>
      <c r="F120" s="10">
        <f t="shared" si="12"/>
        <v>7</v>
      </c>
      <c r="G120" s="10">
        <f t="shared" si="12"/>
        <v>1</v>
      </c>
      <c r="H120" s="10">
        <f t="shared" si="12"/>
        <v>8</v>
      </c>
      <c r="I120" s="10">
        <f t="shared" si="12"/>
        <v>5</v>
      </c>
      <c r="J120" s="10">
        <f t="shared" si="12"/>
        <v>2</v>
      </c>
      <c r="K120" s="10">
        <f t="shared" si="12"/>
        <v>3</v>
      </c>
      <c r="L120" s="16"/>
      <c r="M120" s="16"/>
      <c r="N120" s="16"/>
      <c r="O120" s="16"/>
      <c r="P120" s="14"/>
    </row>
    <row r="121">
      <c r="A121" s="5"/>
      <c r="B121" s="5"/>
      <c r="C121" s="12"/>
      <c r="D121" s="12"/>
      <c r="E121" s="12"/>
      <c r="F121" s="12"/>
      <c r="G121" s="12"/>
      <c r="H121" s="12"/>
      <c r="I121" s="12"/>
      <c r="J121" s="12"/>
      <c r="K121" s="12"/>
      <c r="L121" s="15"/>
      <c r="M121" s="15"/>
      <c r="N121" s="15"/>
      <c r="O121" s="15"/>
      <c r="P121" s="8"/>
    </row>
    <row r="122">
      <c r="A122" s="5"/>
      <c r="B122" s="5"/>
      <c r="C122" s="12"/>
      <c r="D122" s="12"/>
      <c r="E122" s="12"/>
      <c r="F122" s="12"/>
      <c r="G122" s="12"/>
      <c r="H122" s="12"/>
      <c r="I122" s="12"/>
      <c r="J122" s="12"/>
      <c r="K122" s="12"/>
      <c r="L122" s="15"/>
      <c r="M122" s="15"/>
      <c r="N122" s="15"/>
      <c r="O122" s="15"/>
      <c r="P122" s="8"/>
    </row>
    <row r="123">
      <c r="A123" s="5"/>
      <c r="B123" s="5"/>
      <c r="C123" s="12"/>
      <c r="D123" s="12"/>
      <c r="E123" s="12"/>
      <c r="F123" s="12"/>
      <c r="G123" s="12"/>
      <c r="H123" s="12"/>
      <c r="I123" s="12"/>
      <c r="J123" s="12"/>
      <c r="K123" s="12"/>
      <c r="L123" s="15"/>
      <c r="M123" s="15"/>
      <c r="N123" s="15"/>
      <c r="O123" s="15"/>
      <c r="P123" s="8"/>
    </row>
  </sheetData>
  <dataValidations>
    <dataValidation type="custom" allowBlank="1" showDropDown="1" sqref="L2:O123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3" max="3" width="10.75"/>
    <col customWidth="1" min="4" max="4" width="14.5"/>
    <col customWidth="1" min="5" max="5" width="12.0"/>
    <col customWidth="1" min="6" max="6" width="13.13"/>
    <col customWidth="1" min="7" max="7" width="12.25"/>
    <col customWidth="1" min="8" max="8" width="12.13"/>
    <col customWidth="1" min="9" max="9" width="14.13"/>
    <col customWidth="1" min="10" max="10" width="13.63"/>
    <col customWidth="1" min="11" max="11" width="13.75"/>
    <col customWidth="1" min="12" max="12" width="14.13"/>
    <col customWidth="1" min="13" max="13" width="12.5"/>
    <col customWidth="1" min="14" max="14" width="11.63"/>
    <col customWidth="1" min="15" max="15" width="11.88"/>
    <col customWidth="1" min="16" max="16" width="10.0"/>
  </cols>
  <sheetData>
    <row r="1">
      <c r="A1" s="1" t="s">
        <v>70</v>
      </c>
      <c r="B1" s="1" t="s">
        <v>1</v>
      </c>
      <c r="C1" s="1" t="s">
        <v>2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1" t="s">
        <v>16</v>
      </c>
      <c r="B2" s="5" t="s">
        <v>17</v>
      </c>
      <c r="C2" s="22">
        <v>3.0</v>
      </c>
      <c r="D2" s="22">
        <v>0.0</v>
      </c>
      <c r="E2" s="22">
        <v>0.0</v>
      </c>
      <c r="F2" s="22">
        <v>0.0</v>
      </c>
      <c r="G2" s="22">
        <v>0.0</v>
      </c>
      <c r="H2" s="22">
        <v>0.0</v>
      </c>
      <c r="I2" s="22">
        <v>0.0</v>
      </c>
      <c r="J2" s="22">
        <v>0.0</v>
      </c>
      <c r="K2" s="22">
        <v>0.0</v>
      </c>
      <c r="L2" s="15">
        <v>0.0</v>
      </c>
      <c r="M2" s="15">
        <v>0.0</v>
      </c>
      <c r="N2" s="15">
        <v>0.0</v>
      </c>
      <c r="O2" s="15">
        <v>0.0</v>
      </c>
      <c r="P2" s="5"/>
    </row>
    <row r="3">
      <c r="A3" s="21" t="s">
        <v>16</v>
      </c>
      <c r="B3" s="5" t="s">
        <v>18</v>
      </c>
      <c r="C3" s="22">
        <v>5.0</v>
      </c>
      <c r="D3" s="22">
        <v>5.0</v>
      </c>
      <c r="E3" s="22">
        <v>0.0</v>
      </c>
      <c r="F3" s="22">
        <v>3.0</v>
      </c>
      <c r="G3" s="22">
        <v>0.0</v>
      </c>
      <c r="H3" s="22">
        <v>2.0</v>
      </c>
      <c r="I3" s="22">
        <v>1.0</v>
      </c>
      <c r="J3" s="22">
        <v>1.0</v>
      </c>
      <c r="K3" s="22">
        <v>0.0</v>
      </c>
      <c r="L3" s="15">
        <v>1.0</v>
      </c>
      <c r="M3" s="15">
        <v>0.4</v>
      </c>
      <c r="N3" s="15">
        <v>0.2</v>
      </c>
      <c r="O3" s="15">
        <v>0.5</v>
      </c>
      <c r="P3" s="5" t="s">
        <v>79</v>
      </c>
    </row>
    <row r="4">
      <c r="A4" s="21" t="s">
        <v>16</v>
      </c>
      <c r="B4" s="5" t="s">
        <v>19</v>
      </c>
      <c r="C4" s="22">
        <v>20.0</v>
      </c>
      <c r="D4" s="22">
        <v>3.0</v>
      </c>
      <c r="E4" s="22">
        <v>0.0</v>
      </c>
      <c r="F4" s="22">
        <v>2.0</v>
      </c>
      <c r="G4" s="22">
        <v>0.0</v>
      </c>
      <c r="H4" s="22">
        <v>1.0</v>
      </c>
      <c r="I4" s="22">
        <v>0.0</v>
      </c>
      <c r="J4" s="22">
        <v>0.0</v>
      </c>
      <c r="K4" s="22">
        <v>0.0</v>
      </c>
      <c r="L4" s="15">
        <v>0.15</v>
      </c>
      <c r="M4" s="15">
        <v>0.05</v>
      </c>
      <c r="N4" s="15">
        <v>0.0</v>
      </c>
      <c r="O4" s="15">
        <v>0.0</v>
      </c>
      <c r="P4" s="5"/>
    </row>
    <row r="5">
      <c r="A5" s="21" t="s">
        <v>16</v>
      </c>
      <c r="B5" s="5" t="s">
        <v>20</v>
      </c>
      <c r="C5" s="22">
        <v>7.0</v>
      </c>
      <c r="D5" s="22">
        <v>0.0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2">
        <v>0.0</v>
      </c>
      <c r="L5" s="15">
        <v>0.0</v>
      </c>
      <c r="M5" s="15">
        <v>0.0</v>
      </c>
      <c r="N5" s="15">
        <v>0.0</v>
      </c>
      <c r="O5" s="15">
        <v>0.0</v>
      </c>
      <c r="P5" s="5"/>
    </row>
    <row r="6">
      <c r="A6" s="21" t="s">
        <v>16</v>
      </c>
      <c r="B6" s="5" t="s">
        <v>21</v>
      </c>
      <c r="C6" s="22">
        <v>14.0</v>
      </c>
      <c r="D6" s="22">
        <v>6.0</v>
      </c>
      <c r="E6" s="22">
        <v>2.0</v>
      </c>
      <c r="F6" s="22">
        <v>3.0</v>
      </c>
      <c r="G6" s="22">
        <v>0.0</v>
      </c>
      <c r="H6" s="22">
        <v>3.0</v>
      </c>
      <c r="I6" s="22">
        <v>0.0</v>
      </c>
      <c r="J6" s="22">
        <v>0.0</v>
      </c>
      <c r="K6" s="22">
        <v>0.0</v>
      </c>
      <c r="L6" s="15">
        <v>0.4285714285714285</v>
      </c>
      <c r="M6" s="15">
        <v>0.2142857142857143</v>
      </c>
      <c r="N6" s="15">
        <v>0.0</v>
      </c>
      <c r="O6" s="15">
        <v>0.0</v>
      </c>
      <c r="P6" s="5"/>
    </row>
    <row r="7">
      <c r="A7" s="21" t="s">
        <v>16</v>
      </c>
      <c r="B7" s="5" t="s">
        <v>22</v>
      </c>
      <c r="C7" s="22">
        <v>9.0</v>
      </c>
      <c r="D7" s="22">
        <v>3.0</v>
      </c>
      <c r="E7" s="22">
        <v>0.0</v>
      </c>
      <c r="F7" s="22">
        <v>1.0</v>
      </c>
      <c r="G7" s="22">
        <v>0.0</v>
      </c>
      <c r="H7" s="22">
        <v>2.0</v>
      </c>
      <c r="I7" s="22">
        <v>0.0</v>
      </c>
      <c r="J7" s="22">
        <v>0.0</v>
      </c>
      <c r="K7" s="22">
        <v>0.0</v>
      </c>
      <c r="L7" s="15">
        <v>0.3333333333333333</v>
      </c>
      <c r="M7" s="15">
        <v>0.2222222222222222</v>
      </c>
      <c r="N7" s="15">
        <v>0.0</v>
      </c>
      <c r="O7" s="15">
        <v>0.0</v>
      </c>
      <c r="P7" s="5"/>
    </row>
    <row r="8">
      <c r="A8" s="21" t="s">
        <v>16</v>
      </c>
      <c r="B8" s="5" t="s">
        <v>23</v>
      </c>
      <c r="C8" s="22">
        <v>4.0</v>
      </c>
      <c r="D8" s="22">
        <v>1.0</v>
      </c>
      <c r="E8" s="22">
        <v>0.0</v>
      </c>
      <c r="F8" s="22">
        <v>1.0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15">
        <v>0.25</v>
      </c>
      <c r="M8" s="15">
        <v>0.0</v>
      </c>
      <c r="N8" s="15">
        <v>0.0</v>
      </c>
      <c r="O8" s="15">
        <v>0.0</v>
      </c>
      <c r="P8" s="5"/>
    </row>
    <row r="9">
      <c r="A9" s="21" t="s">
        <v>16</v>
      </c>
      <c r="B9" s="5" t="s">
        <v>24</v>
      </c>
      <c r="C9" s="22">
        <v>2.0</v>
      </c>
      <c r="D9" s="22">
        <v>1.0</v>
      </c>
      <c r="E9" s="22">
        <v>0.0</v>
      </c>
      <c r="F9" s="22">
        <v>0.0</v>
      </c>
      <c r="G9" s="22">
        <v>0.0</v>
      </c>
      <c r="H9" s="22">
        <v>1.0</v>
      </c>
      <c r="I9" s="22">
        <v>0.0</v>
      </c>
      <c r="J9" s="22">
        <v>0.0</v>
      </c>
      <c r="K9" s="22">
        <v>0.0</v>
      </c>
      <c r="L9" s="15">
        <v>0.5</v>
      </c>
      <c r="M9" s="15">
        <v>0.5</v>
      </c>
      <c r="N9" s="15">
        <v>0.0</v>
      </c>
      <c r="O9" s="15">
        <v>0.0</v>
      </c>
      <c r="P9" s="5"/>
    </row>
    <row r="10">
      <c r="A10" s="21" t="s">
        <v>16</v>
      </c>
      <c r="B10" s="5" t="s">
        <v>25</v>
      </c>
      <c r="C10" s="22">
        <v>10.0</v>
      </c>
      <c r="D10" s="22">
        <v>3.0</v>
      </c>
      <c r="E10" s="22">
        <v>0.0</v>
      </c>
      <c r="F10" s="22">
        <v>2.0</v>
      </c>
      <c r="G10" s="22">
        <v>0.0</v>
      </c>
      <c r="H10" s="22">
        <v>1.0</v>
      </c>
      <c r="I10" s="22">
        <v>0.0</v>
      </c>
      <c r="J10" s="22">
        <v>0.0</v>
      </c>
      <c r="K10" s="22">
        <v>0.0</v>
      </c>
      <c r="L10" s="15">
        <v>0.3</v>
      </c>
      <c r="M10" s="15">
        <v>0.1</v>
      </c>
      <c r="N10" s="15">
        <v>0.0</v>
      </c>
      <c r="O10" s="15">
        <v>0.0</v>
      </c>
      <c r="P10" s="5"/>
    </row>
    <row r="11">
      <c r="A11" s="21" t="s">
        <v>16</v>
      </c>
      <c r="B11" s="5" t="s">
        <v>26</v>
      </c>
      <c r="C11" s="22">
        <v>5.0</v>
      </c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2">
        <v>0.0</v>
      </c>
      <c r="L11" s="15">
        <v>0.0</v>
      </c>
      <c r="M11" s="15">
        <v>0.0</v>
      </c>
      <c r="N11" s="15">
        <v>0.0</v>
      </c>
      <c r="O11" s="15">
        <v>0.0</v>
      </c>
      <c r="P11" s="5"/>
    </row>
    <row r="12">
      <c r="A12" s="21" t="s">
        <v>16</v>
      </c>
      <c r="B12" s="5" t="s">
        <v>27</v>
      </c>
      <c r="C12" s="22">
        <v>19.0</v>
      </c>
      <c r="D12" s="22">
        <v>7.0</v>
      </c>
      <c r="E12" s="22">
        <v>1.0</v>
      </c>
      <c r="F12" s="22">
        <v>0.0</v>
      </c>
      <c r="G12" s="22">
        <v>6.0</v>
      </c>
      <c r="H12" s="22">
        <v>7.0</v>
      </c>
      <c r="I12" s="22">
        <v>1.0</v>
      </c>
      <c r="J12" s="22">
        <v>1.0</v>
      </c>
      <c r="K12" s="22">
        <v>0.0</v>
      </c>
      <c r="L12" s="15">
        <v>0.3684210526315789</v>
      </c>
      <c r="M12" s="15">
        <v>0.3684210526315789</v>
      </c>
      <c r="N12" s="15">
        <v>0.05263157894736842</v>
      </c>
      <c r="O12" s="15">
        <v>0.1428571428571428</v>
      </c>
      <c r="P12" s="5" t="s">
        <v>80</v>
      </c>
    </row>
    <row r="13">
      <c r="A13" s="23" t="s">
        <v>16</v>
      </c>
      <c r="B13" s="9"/>
      <c r="C13" s="24"/>
      <c r="D13" s="24"/>
      <c r="E13" s="24"/>
      <c r="F13" s="24"/>
      <c r="G13" s="24"/>
      <c r="H13" s="24"/>
      <c r="I13" s="24"/>
      <c r="J13" s="24"/>
      <c r="K13" s="24"/>
      <c r="L13" s="16"/>
      <c r="M13" s="16"/>
      <c r="N13" s="16"/>
      <c r="O13" s="16"/>
      <c r="P13" s="9"/>
    </row>
    <row r="14">
      <c r="A14" s="21" t="s">
        <v>28</v>
      </c>
      <c r="B14" s="5" t="s">
        <v>17</v>
      </c>
      <c r="C14" s="22">
        <v>5.0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2">
        <v>0.0</v>
      </c>
      <c r="L14" s="15">
        <v>0.0</v>
      </c>
      <c r="M14" s="15">
        <v>0.0</v>
      </c>
      <c r="N14" s="15">
        <v>0.0</v>
      </c>
      <c r="O14" s="15">
        <v>0.0</v>
      </c>
      <c r="P14" s="5"/>
    </row>
    <row r="15">
      <c r="A15" s="21" t="s">
        <v>28</v>
      </c>
      <c r="B15" s="5" t="s">
        <v>18</v>
      </c>
      <c r="C15" s="22">
        <v>9.0</v>
      </c>
      <c r="D15" s="22">
        <v>5.0</v>
      </c>
      <c r="E15" s="22">
        <v>0.0</v>
      </c>
      <c r="F15" s="22">
        <v>2.0</v>
      </c>
      <c r="G15" s="22">
        <v>0.0</v>
      </c>
      <c r="H15" s="22">
        <v>3.0</v>
      </c>
      <c r="I15" s="22">
        <v>2.0</v>
      </c>
      <c r="J15" s="22">
        <v>2.0</v>
      </c>
      <c r="K15" s="22">
        <v>0.0</v>
      </c>
      <c r="L15" s="15">
        <v>0.5555555555555556</v>
      </c>
      <c r="M15" s="15">
        <v>0.3333333333333333</v>
      </c>
      <c r="N15" s="15">
        <v>0.2222222222222222</v>
      </c>
      <c r="O15" s="15">
        <v>0.6666666666666666</v>
      </c>
      <c r="P15" s="5" t="s">
        <v>81</v>
      </c>
    </row>
    <row r="16">
      <c r="A16" s="21" t="s">
        <v>28</v>
      </c>
      <c r="B16" s="5" t="s">
        <v>19</v>
      </c>
      <c r="C16" s="22">
        <v>23.0</v>
      </c>
      <c r="D16" s="22">
        <v>2.0</v>
      </c>
      <c r="E16" s="22">
        <v>0.0</v>
      </c>
      <c r="F16" s="22">
        <v>0.0</v>
      </c>
      <c r="G16" s="22">
        <v>0.0</v>
      </c>
      <c r="H16" s="22">
        <v>2.0</v>
      </c>
      <c r="I16" s="22">
        <v>0.0</v>
      </c>
      <c r="J16" s="22">
        <v>0.0</v>
      </c>
      <c r="K16" s="22">
        <v>0.0</v>
      </c>
      <c r="L16" s="15">
        <v>0.08695652173913043</v>
      </c>
      <c r="M16" s="15">
        <v>0.08695652173913043</v>
      </c>
      <c r="N16" s="15">
        <v>0.0</v>
      </c>
      <c r="O16" s="15">
        <v>0.0</v>
      </c>
      <c r="P16" s="5"/>
    </row>
    <row r="17">
      <c r="A17" s="21" t="s">
        <v>28</v>
      </c>
      <c r="B17" s="5" t="s">
        <v>20</v>
      </c>
      <c r="C17" s="22">
        <v>13.0</v>
      </c>
      <c r="D17" s="22">
        <v>2.0</v>
      </c>
      <c r="E17" s="22">
        <v>0.0</v>
      </c>
      <c r="F17" s="22">
        <v>0.0</v>
      </c>
      <c r="G17" s="22">
        <v>2.0</v>
      </c>
      <c r="H17" s="22">
        <v>2.0</v>
      </c>
      <c r="I17" s="22">
        <v>0.0</v>
      </c>
      <c r="J17" s="22">
        <v>0.0</v>
      </c>
      <c r="K17" s="22">
        <v>0.0</v>
      </c>
      <c r="L17" s="15">
        <v>0.1538461538461539</v>
      </c>
      <c r="M17" s="15">
        <v>0.1538461538461539</v>
      </c>
      <c r="N17" s="15">
        <v>0.0</v>
      </c>
      <c r="O17" s="15">
        <v>0.0</v>
      </c>
      <c r="P17" s="5"/>
    </row>
    <row r="18">
      <c r="A18" s="21" t="s">
        <v>28</v>
      </c>
      <c r="B18" s="5" t="s">
        <v>30</v>
      </c>
      <c r="C18" s="22">
        <v>3.0</v>
      </c>
      <c r="D18" s="22">
        <v>2.0</v>
      </c>
      <c r="E18" s="22">
        <v>0.0</v>
      </c>
      <c r="F18" s="22">
        <v>0.0</v>
      </c>
      <c r="G18" s="22">
        <v>0.0</v>
      </c>
      <c r="H18" s="22">
        <v>2.0</v>
      </c>
      <c r="I18" s="22">
        <v>0.0</v>
      </c>
      <c r="J18" s="22">
        <v>0.0</v>
      </c>
      <c r="K18" s="22">
        <v>0.0</v>
      </c>
      <c r="L18" s="15">
        <v>0.6666666666666666</v>
      </c>
      <c r="M18" s="15">
        <v>0.6666666666666666</v>
      </c>
      <c r="N18" s="15">
        <v>0.0</v>
      </c>
      <c r="O18" s="15">
        <v>0.0</v>
      </c>
      <c r="P18" s="5"/>
    </row>
    <row r="19">
      <c r="A19" s="21" t="s">
        <v>28</v>
      </c>
      <c r="B19" s="5" t="s">
        <v>21</v>
      </c>
      <c r="C19" s="22">
        <v>12.0</v>
      </c>
      <c r="D19" s="22">
        <v>3.0</v>
      </c>
      <c r="E19" s="22">
        <v>2.0</v>
      </c>
      <c r="F19" s="22">
        <v>1.0</v>
      </c>
      <c r="G19" s="22">
        <v>0.0</v>
      </c>
      <c r="H19" s="22">
        <v>2.0</v>
      </c>
      <c r="I19" s="22">
        <v>0.0</v>
      </c>
      <c r="J19" s="22">
        <v>0.0</v>
      </c>
      <c r="K19" s="22">
        <v>0.0</v>
      </c>
      <c r="L19" s="15">
        <v>0.25</v>
      </c>
      <c r="M19" s="15">
        <v>0.1666666666666667</v>
      </c>
      <c r="N19" s="15">
        <v>0.0</v>
      </c>
      <c r="O19" s="15">
        <v>0.0</v>
      </c>
      <c r="P19" s="5"/>
    </row>
    <row r="20">
      <c r="A20" s="21" t="s">
        <v>28</v>
      </c>
      <c r="B20" s="5" t="s">
        <v>22</v>
      </c>
      <c r="C20" s="22">
        <v>7.0</v>
      </c>
      <c r="D20" s="22">
        <v>1.0</v>
      </c>
      <c r="E20" s="22">
        <v>0.0</v>
      </c>
      <c r="F20" s="22">
        <v>1.0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15">
        <v>0.1428571428571428</v>
      </c>
      <c r="M20" s="15">
        <v>0.0</v>
      </c>
      <c r="N20" s="15">
        <v>0.0</v>
      </c>
      <c r="O20" s="15">
        <v>0.0</v>
      </c>
      <c r="P20" s="5"/>
    </row>
    <row r="21">
      <c r="A21" s="21" t="s">
        <v>28</v>
      </c>
      <c r="B21" s="5" t="s">
        <v>31</v>
      </c>
      <c r="C21" s="22">
        <v>8.0</v>
      </c>
      <c r="D21" s="22">
        <v>2.0</v>
      </c>
      <c r="E21" s="22">
        <v>1.0</v>
      </c>
      <c r="F21" s="22">
        <v>0.0</v>
      </c>
      <c r="G21" s="22">
        <v>0.0</v>
      </c>
      <c r="H21" s="22">
        <v>2.0</v>
      </c>
      <c r="I21" s="22">
        <v>0.0</v>
      </c>
      <c r="J21" s="22">
        <v>0.0</v>
      </c>
      <c r="K21" s="22">
        <v>0.0</v>
      </c>
      <c r="L21" s="15">
        <v>0.25</v>
      </c>
      <c r="M21" s="15">
        <v>0.25</v>
      </c>
      <c r="N21" s="15">
        <v>0.0</v>
      </c>
      <c r="O21" s="15">
        <v>0.0</v>
      </c>
      <c r="P21" s="5"/>
    </row>
    <row r="22">
      <c r="A22" s="21" t="s">
        <v>28</v>
      </c>
      <c r="B22" s="5" t="s">
        <v>23</v>
      </c>
      <c r="C22" s="22">
        <v>1.0</v>
      </c>
      <c r="D22" s="22">
        <v>0.0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2">
        <v>0.0</v>
      </c>
      <c r="L22" s="15">
        <v>0.0</v>
      </c>
      <c r="M22" s="15">
        <v>0.0</v>
      </c>
      <c r="N22" s="15">
        <v>0.0</v>
      </c>
      <c r="O22" s="15">
        <v>0.0</v>
      </c>
      <c r="P22" s="5"/>
    </row>
    <row r="23">
      <c r="A23" s="21" t="s">
        <v>28</v>
      </c>
      <c r="B23" s="5" t="s">
        <v>24</v>
      </c>
      <c r="C23" s="22">
        <v>1.0</v>
      </c>
      <c r="D23" s="22">
        <v>0.0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2">
        <v>0.0</v>
      </c>
      <c r="L23" s="15">
        <v>0.0</v>
      </c>
      <c r="M23" s="15">
        <v>0.0</v>
      </c>
      <c r="N23" s="15">
        <v>0.0</v>
      </c>
      <c r="O23" s="15">
        <v>0.0</v>
      </c>
      <c r="P23" s="5"/>
    </row>
    <row r="24">
      <c r="A24" s="21" t="s">
        <v>28</v>
      </c>
      <c r="B24" s="5" t="s">
        <v>25</v>
      </c>
      <c r="C24" s="22">
        <v>15.0</v>
      </c>
      <c r="D24" s="22">
        <v>2.0</v>
      </c>
      <c r="E24" s="22">
        <v>0.0</v>
      </c>
      <c r="F24" s="22">
        <v>0.0</v>
      </c>
      <c r="G24" s="22">
        <v>0.0</v>
      </c>
      <c r="H24" s="22">
        <v>2.0</v>
      </c>
      <c r="I24" s="22">
        <v>0.0</v>
      </c>
      <c r="J24" s="22">
        <v>0.0</v>
      </c>
      <c r="K24" s="22">
        <v>0.0</v>
      </c>
      <c r="L24" s="15">
        <v>0.1333333333333333</v>
      </c>
      <c r="M24" s="15">
        <v>0.1333333333333333</v>
      </c>
      <c r="N24" s="15">
        <v>0.0</v>
      </c>
      <c r="O24" s="15">
        <v>0.0</v>
      </c>
      <c r="P24" s="5"/>
    </row>
    <row r="25">
      <c r="A25" s="21" t="s">
        <v>28</v>
      </c>
      <c r="B25" s="5" t="s">
        <v>26</v>
      </c>
      <c r="C25" s="22">
        <v>6.0</v>
      </c>
      <c r="D25" s="22">
        <v>1.0</v>
      </c>
      <c r="E25" s="22">
        <v>0.0</v>
      </c>
      <c r="F25" s="22">
        <v>0.0</v>
      </c>
      <c r="G25" s="22">
        <v>0.0</v>
      </c>
      <c r="H25" s="22">
        <v>1.0</v>
      </c>
      <c r="I25" s="22">
        <v>0.0</v>
      </c>
      <c r="J25" s="22">
        <v>0.0</v>
      </c>
      <c r="K25" s="22">
        <v>0.0</v>
      </c>
      <c r="L25" s="15">
        <v>0.1666666666666667</v>
      </c>
      <c r="M25" s="15">
        <v>0.1666666666666667</v>
      </c>
      <c r="N25" s="15">
        <v>0.0</v>
      </c>
      <c r="O25" s="15">
        <v>0.0</v>
      </c>
      <c r="P25" s="5"/>
    </row>
    <row r="26">
      <c r="A26" s="21" t="s">
        <v>28</v>
      </c>
      <c r="B26" s="5" t="s">
        <v>27</v>
      </c>
      <c r="C26" s="22">
        <v>24.0</v>
      </c>
      <c r="D26" s="22">
        <v>5.0</v>
      </c>
      <c r="E26" s="22">
        <v>1.0</v>
      </c>
      <c r="F26" s="22">
        <v>0.0</v>
      </c>
      <c r="G26" s="22">
        <v>4.0</v>
      </c>
      <c r="H26" s="22">
        <v>5.0</v>
      </c>
      <c r="I26" s="22">
        <v>2.0</v>
      </c>
      <c r="J26" s="22">
        <v>2.0</v>
      </c>
      <c r="K26" s="22">
        <v>0.0</v>
      </c>
      <c r="L26" s="15">
        <v>0.2083333333333333</v>
      </c>
      <c r="M26" s="15">
        <v>0.2083333333333333</v>
      </c>
      <c r="N26" s="15">
        <v>0.08333333333333333</v>
      </c>
      <c r="O26" s="15">
        <v>0.4</v>
      </c>
      <c r="P26" s="5" t="s">
        <v>82</v>
      </c>
    </row>
    <row r="27">
      <c r="A27" s="23" t="s">
        <v>28</v>
      </c>
      <c r="B27" s="9"/>
      <c r="C27" s="24"/>
      <c r="D27" s="24"/>
      <c r="E27" s="24"/>
      <c r="F27" s="24"/>
      <c r="G27" s="24"/>
      <c r="H27" s="24"/>
      <c r="I27" s="24"/>
      <c r="J27" s="24"/>
      <c r="K27" s="24"/>
      <c r="L27" s="16"/>
      <c r="M27" s="16"/>
      <c r="N27" s="16"/>
      <c r="O27" s="16"/>
      <c r="P27" s="9"/>
    </row>
    <row r="28">
      <c r="A28" s="21" t="s">
        <v>33</v>
      </c>
      <c r="B28" s="5" t="s">
        <v>17</v>
      </c>
      <c r="C28" s="22">
        <v>3.0</v>
      </c>
      <c r="D28" s="22">
        <v>0.0</v>
      </c>
      <c r="E28" s="22">
        <v>0.0</v>
      </c>
      <c r="F28" s="22">
        <v>0.0</v>
      </c>
      <c r="G28" s="22">
        <v>0.0</v>
      </c>
      <c r="H28" s="22">
        <v>0.0</v>
      </c>
      <c r="I28" s="22">
        <v>0.0</v>
      </c>
      <c r="J28" s="22">
        <v>0.0</v>
      </c>
      <c r="K28" s="22">
        <v>0.0</v>
      </c>
      <c r="L28" s="15">
        <v>0.0</v>
      </c>
      <c r="M28" s="15">
        <v>0.0</v>
      </c>
      <c r="N28" s="15">
        <v>0.0</v>
      </c>
      <c r="O28" s="15">
        <v>0.0</v>
      </c>
      <c r="P28" s="5"/>
    </row>
    <row r="29">
      <c r="A29" s="21" t="s">
        <v>33</v>
      </c>
      <c r="B29" s="5" t="s">
        <v>18</v>
      </c>
      <c r="C29" s="22">
        <v>7.0</v>
      </c>
      <c r="D29" s="22">
        <v>4.0</v>
      </c>
      <c r="E29" s="22">
        <v>0.0</v>
      </c>
      <c r="F29" s="22">
        <v>1.0</v>
      </c>
      <c r="G29" s="22">
        <v>0.0</v>
      </c>
      <c r="H29" s="22">
        <v>3.0</v>
      </c>
      <c r="I29" s="22">
        <v>3.0</v>
      </c>
      <c r="J29" s="22">
        <v>3.0</v>
      </c>
      <c r="K29" s="22">
        <v>0.0</v>
      </c>
      <c r="L29" s="15">
        <v>0.5714285714285714</v>
      </c>
      <c r="M29" s="15">
        <v>0.4285714285714285</v>
      </c>
      <c r="N29" s="15">
        <v>0.4285714285714285</v>
      </c>
      <c r="O29" s="15">
        <v>1.0</v>
      </c>
      <c r="P29" s="5" t="s">
        <v>83</v>
      </c>
    </row>
    <row r="30">
      <c r="A30" s="21" t="s">
        <v>33</v>
      </c>
      <c r="B30" s="5" t="s">
        <v>19</v>
      </c>
      <c r="C30" s="22">
        <v>28.0</v>
      </c>
      <c r="D30" s="22">
        <v>4.0</v>
      </c>
      <c r="E30" s="22">
        <v>1.0</v>
      </c>
      <c r="F30" s="22">
        <v>0.0</v>
      </c>
      <c r="G30" s="22">
        <v>0.0</v>
      </c>
      <c r="H30" s="22">
        <v>4.0</v>
      </c>
      <c r="I30" s="22">
        <v>2.0</v>
      </c>
      <c r="J30" s="22">
        <v>2.0</v>
      </c>
      <c r="K30" s="22">
        <v>0.0</v>
      </c>
      <c r="L30" s="15">
        <v>0.1428571428571428</v>
      </c>
      <c r="M30" s="15">
        <v>0.1428571428571428</v>
      </c>
      <c r="N30" s="15">
        <v>0.07142857142857142</v>
      </c>
      <c r="O30" s="15">
        <v>0.5</v>
      </c>
      <c r="P30" s="5" t="s">
        <v>84</v>
      </c>
    </row>
    <row r="31">
      <c r="A31" s="21" t="s">
        <v>33</v>
      </c>
      <c r="B31" s="5" t="s">
        <v>20</v>
      </c>
      <c r="C31" s="22">
        <v>12.0</v>
      </c>
      <c r="D31" s="22">
        <v>1.0</v>
      </c>
      <c r="E31" s="22">
        <v>0.0</v>
      </c>
      <c r="F31" s="22">
        <v>0.0</v>
      </c>
      <c r="G31" s="22">
        <v>1.0</v>
      </c>
      <c r="H31" s="22">
        <v>1.0</v>
      </c>
      <c r="I31" s="22">
        <v>0.0</v>
      </c>
      <c r="J31" s="22">
        <v>0.0</v>
      </c>
      <c r="K31" s="22">
        <v>0.0</v>
      </c>
      <c r="L31" s="15">
        <v>0.08333333333333333</v>
      </c>
      <c r="M31" s="15">
        <v>0.08333333333333333</v>
      </c>
      <c r="N31" s="15">
        <v>0.0</v>
      </c>
      <c r="O31" s="15">
        <v>0.0</v>
      </c>
      <c r="P31" s="5"/>
    </row>
    <row r="32">
      <c r="A32" s="25" t="s">
        <v>33</v>
      </c>
      <c r="B32" s="5" t="s">
        <v>21</v>
      </c>
      <c r="C32" s="22">
        <v>10.0</v>
      </c>
      <c r="D32" s="22">
        <v>4.0</v>
      </c>
      <c r="E32" s="22">
        <v>0.0</v>
      </c>
      <c r="F32" s="22">
        <v>1.0</v>
      </c>
      <c r="G32" s="22">
        <v>0.0</v>
      </c>
      <c r="H32" s="22">
        <v>3.0</v>
      </c>
      <c r="I32" s="22">
        <v>2.0</v>
      </c>
      <c r="J32" s="22">
        <v>2.0</v>
      </c>
      <c r="K32" s="22">
        <v>0.0</v>
      </c>
      <c r="L32" s="15">
        <v>0.4</v>
      </c>
      <c r="M32" s="15">
        <v>0.3</v>
      </c>
      <c r="N32" s="15">
        <v>0.2</v>
      </c>
      <c r="O32" s="15">
        <v>0.6666666666666666</v>
      </c>
      <c r="P32" s="22" t="s">
        <v>35</v>
      </c>
    </row>
    <row r="33">
      <c r="A33" s="21" t="s">
        <v>33</v>
      </c>
      <c r="B33" s="5" t="s">
        <v>22</v>
      </c>
      <c r="C33" s="22">
        <v>10.0</v>
      </c>
      <c r="D33" s="22">
        <v>5.0</v>
      </c>
      <c r="E33" s="22">
        <v>1.0</v>
      </c>
      <c r="F33" s="22">
        <v>1.0</v>
      </c>
      <c r="G33" s="22">
        <v>0.0</v>
      </c>
      <c r="H33" s="22">
        <v>4.0</v>
      </c>
      <c r="I33" s="22">
        <v>0.0</v>
      </c>
      <c r="J33" s="22">
        <v>0.0</v>
      </c>
      <c r="K33" s="22">
        <v>0.0</v>
      </c>
      <c r="L33" s="15">
        <v>0.5</v>
      </c>
      <c r="M33" s="15">
        <v>0.4</v>
      </c>
      <c r="N33" s="15">
        <v>0.0</v>
      </c>
      <c r="O33" s="15">
        <v>0.0</v>
      </c>
      <c r="P33" s="5"/>
    </row>
    <row r="34">
      <c r="A34" s="21" t="s">
        <v>33</v>
      </c>
      <c r="B34" s="5" t="s">
        <v>31</v>
      </c>
      <c r="C34" s="22">
        <v>7.0</v>
      </c>
      <c r="D34" s="22">
        <v>3.0</v>
      </c>
      <c r="E34" s="22">
        <v>1.0</v>
      </c>
      <c r="F34" s="22">
        <v>1.0</v>
      </c>
      <c r="G34" s="22">
        <v>0.0</v>
      </c>
      <c r="H34" s="22">
        <v>2.0</v>
      </c>
      <c r="I34" s="22">
        <v>0.0</v>
      </c>
      <c r="J34" s="22">
        <v>0.0</v>
      </c>
      <c r="K34" s="22">
        <v>0.0</v>
      </c>
      <c r="L34" s="15">
        <v>0.4285714285714285</v>
      </c>
      <c r="M34" s="15">
        <v>0.2857142857142857</v>
      </c>
      <c r="N34" s="15">
        <v>0.0</v>
      </c>
      <c r="O34" s="15">
        <v>0.0</v>
      </c>
      <c r="P34" s="5"/>
    </row>
    <row r="35">
      <c r="A35" s="21" t="s">
        <v>33</v>
      </c>
      <c r="B35" s="5" t="s">
        <v>23</v>
      </c>
      <c r="C35" s="22">
        <v>1.0</v>
      </c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  <c r="I35" s="22">
        <v>0.0</v>
      </c>
      <c r="J35" s="22">
        <v>0.0</v>
      </c>
      <c r="K35" s="22">
        <v>0.0</v>
      </c>
      <c r="L35" s="15">
        <v>0.0</v>
      </c>
      <c r="M35" s="15">
        <v>0.0</v>
      </c>
      <c r="N35" s="15">
        <v>0.0</v>
      </c>
      <c r="O35" s="15">
        <v>0.0</v>
      </c>
      <c r="P35" s="5"/>
    </row>
    <row r="36">
      <c r="A36" s="21" t="s">
        <v>33</v>
      </c>
      <c r="B36" s="5" t="s">
        <v>25</v>
      </c>
      <c r="C36" s="22">
        <v>14.0</v>
      </c>
      <c r="D36" s="22">
        <v>3.0</v>
      </c>
      <c r="E36" s="22">
        <v>1.0</v>
      </c>
      <c r="F36" s="22">
        <v>1.0</v>
      </c>
      <c r="G36" s="22">
        <v>0.0</v>
      </c>
      <c r="H36" s="22">
        <v>2.0</v>
      </c>
      <c r="I36" s="22">
        <v>0.0</v>
      </c>
      <c r="J36" s="22">
        <v>0.0</v>
      </c>
      <c r="K36" s="22">
        <v>0.0</v>
      </c>
      <c r="L36" s="15">
        <v>0.2142857142857143</v>
      </c>
      <c r="M36" s="15">
        <v>0.1428571428571428</v>
      </c>
      <c r="N36" s="15">
        <v>0.0</v>
      </c>
      <c r="O36" s="15">
        <v>0.0</v>
      </c>
      <c r="P36" s="5"/>
    </row>
    <row r="37">
      <c r="A37" s="21" t="s">
        <v>33</v>
      </c>
      <c r="B37" s="5" t="s">
        <v>26</v>
      </c>
      <c r="C37" s="22">
        <v>1.0</v>
      </c>
      <c r="D37" s="22">
        <v>1.0</v>
      </c>
      <c r="E37" s="22">
        <v>0.0</v>
      </c>
      <c r="F37" s="22">
        <v>0.0</v>
      </c>
      <c r="G37" s="22">
        <v>0.0</v>
      </c>
      <c r="H37" s="22">
        <v>1.0</v>
      </c>
      <c r="I37" s="22">
        <v>0.0</v>
      </c>
      <c r="J37" s="22">
        <v>0.0</v>
      </c>
      <c r="K37" s="22">
        <v>0.0</v>
      </c>
      <c r="L37" s="15">
        <v>1.0</v>
      </c>
      <c r="M37" s="15">
        <v>1.0</v>
      </c>
      <c r="N37" s="15">
        <v>0.0</v>
      </c>
      <c r="O37" s="15">
        <v>0.0</v>
      </c>
      <c r="P37" s="5"/>
    </row>
    <row r="38">
      <c r="A38" s="21" t="s">
        <v>33</v>
      </c>
      <c r="B38" s="5" t="s">
        <v>27</v>
      </c>
      <c r="C38" s="22">
        <v>24.0</v>
      </c>
      <c r="D38" s="22">
        <v>4.0</v>
      </c>
      <c r="E38" s="22">
        <v>0.0</v>
      </c>
      <c r="F38" s="22">
        <v>0.0</v>
      </c>
      <c r="G38" s="22">
        <v>4.0</v>
      </c>
      <c r="H38" s="22">
        <v>4.0</v>
      </c>
      <c r="I38" s="22">
        <v>0.0</v>
      </c>
      <c r="J38" s="22">
        <v>0.0</v>
      </c>
      <c r="K38" s="22">
        <v>0.0</v>
      </c>
      <c r="L38" s="15">
        <v>0.1666666666666667</v>
      </c>
      <c r="M38" s="15">
        <v>0.1666666666666667</v>
      </c>
      <c r="N38" s="15">
        <v>0.0</v>
      </c>
      <c r="O38" s="15">
        <v>0.0</v>
      </c>
      <c r="P38" s="5"/>
    </row>
    <row r="39">
      <c r="A39" s="21" t="s">
        <v>33</v>
      </c>
      <c r="B39" s="26" t="s">
        <v>30</v>
      </c>
      <c r="C39" s="27">
        <v>0.0</v>
      </c>
      <c r="D39" s="27">
        <v>0.0</v>
      </c>
      <c r="E39" s="22">
        <v>0.0</v>
      </c>
      <c r="F39" s="22">
        <v>0.0</v>
      </c>
      <c r="G39" s="22">
        <v>0.0</v>
      </c>
      <c r="H39" s="27">
        <v>0.0</v>
      </c>
      <c r="I39" s="22">
        <v>0.0</v>
      </c>
      <c r="J39" s="22">
        <v>0.0</v>
      </c>
      <c r="K39" s="22">
        <v>0.0</v>
      </c>
      <c r="L39" s="28">
        <v>0.0</v>
      </c>
      <c r="M39" s="28">
        <v>0.0</v>
      </c>
      <c r="N39" s="15">
        <v>0.0</v>
      </c>
      <c r="O39" s="15">
        <v>0.0</v>
      </c>
      <c r="P39" s="5"/>
    </row>
    <row r="40">
      <c r="A40" s="23" t="s">
        <v>33</v>
      </c>
      <c r="B40" s="9"/>
      <c r="C40" s="24"/>
      <c r="D40" s="24"/>
      <c r="E40" s="24"/>
      <c r="F40" s="24"/>
      <c r="G40" s="24"/>
      <c r="H40" s="24"/>
      <c r="I40" s="24"/>
      <c r="J40" s="24"/>
      <c r="K40" s="24"/>
      <c r="L40" s="16"/>
      <c r="M40" s="16"/>
      <c r="N40" s="16"/>
      <c r="O40" s="16"/>
      <c r="P40" s="9"/>
    </row>
    <row r="41">
      <c r="A41" s="21" t="s">
        <v>36</v>
      </c>
      <c r="B41" s="5" t="s">
        <v>17</v>
      </c>
      <c r="C41" s="22">
        <v>3.0</v>
      </c>
      <c r="D41" s="22">
        <v>0.0</v>
      </c>
      <c r="E41" s="22">
        <v>0.0</v>
      </c>
      <c r="F41" s="22">
        <v>0.0</v>
      </c>
      <c r="G41" s="22">
        <v>0.0</v>
      </c>
      <c r="H41" s="22">
        <v>0.0</v>
      </c>
      <c r="I41" s="22">
        <v>0.0</v>
      </c>
      <c r="J41" s="22">
        <v>0.0</v>
      </c>
      <c r="K41" s="22">
        <v>0.0</v>
      </c>
      <c r="L41" s="15">
        <v>0.0</v>
      </c>
      <c r="M41" s="15">
        <v>0.0</v>
      </c>
      <c r="N41" s="15">
        <v>0.0</v>
      </c>
      <c r="O41" s="15">
        <v>0.0</v>
      </c>
      <c r="P41" s="5"/>
    </row>
    <row r="42">
      <c r="A42" s="21" t="s">
        <v>36</v>
      </c>
      <c r="B42" s="5" t="s">
        <v>18</v>
      </c>
      <c r="C42" s="22">
        <v>13.0</v>
      </c>
      <c r="D42" s="22">
        <v>5.0</v>
      </c>
      <c r="E42" s="22">
        <v>2.0</v>
      </c>
      <c r="F42" s="22">
        <v>1.0</v>
      </c>
      <c r="G42" s="22">
        <v>0.0</v>
      </c>
      <c r="H42" s="22">
        <v>4.0</v>
      </c>
      <c r="I42" s="22">
        <v>1.0</v>
      </c>
      <c r="J42" s="22">
        <v>1.0</v>
      </c>
      <c r="K42" s="22">
        <v>0.0</v>
      </c>
      <c r="L42" s="15">
        <v>0.3846153846153846</v>
      </c>
      <c r="M42" s="15">
        <v>0.3076923076923077</v>
      </c>
      <c r="N42" s="15">
        <v>0.07692307692307693</v>
      </c>
      <c r="O42" s="15">
        <v>0.25</v>
      </c>
      <c r="P42" s="5" t="s">
        <v>40</v>
      </c>
    </row>
    <row r="43">
      <c r="A43" s="21" t="s">
        <v>36</v>
      </c>
      <c r="B43" s="5" t="s">
        <v>19</v>
      </c>
      <c r="C43" s="22">
        <v>40.0</v>
      </c>
      <c r="D43" s="22">
        <v>8.0</v>
      </c>
      <c r="E43" s="22">
        <v>1.0</v>
      </c>
      <c r="F43" s="22">
        <v>3.0</v>
      </c>
      <c r="G43" s="22">
        <v>0.0</v>
      </c>
      <c r="H43" s="22">
        <v>5.0</v>
      </c>
      <c r="I43" s="22">
        <v>1.0</v>
      </c>
      <c r="J43" s="22">
        <v>1.0</v>
      </c>
      <c r="K43" s="22">
        <v>0.0</v>
      </c>
      <c r="L43" s="15">
        <v>0.2</v>
      </c>
      <c r="M43" s="15">
        <v>0.125</v>
      </c>
      <c r="N43" s="15">
        <v>0.025</v>
      </c>
      <c r="O43" s="15">
        <v>0.2</v>
      </c>
      <c r="P43" s="5" t="s">
        <v>41</v>
      </c>
    </row>
    <row r="44">
      <c r="A44" s="21" t="s">
        <v>36</v>
      </c>
      <c r="B44" s="5" t="s">
        <v>20</v>
      </c>
      <c r="C44" s="22">
        <v>30.0</v>
      </c>
      <c r="D44" s="22">
        <v>4.0</v>
      </c>
      <c r="E44" s="22">
        <v>0.0</v>
      </c>
      <c r="F44" s="22">
        <v>0.0</v>
      </c>
      <c r="G44" s="22">
        <v>4.0</v>
      </c>
      <c r="H44" s="22">
        <v>4.0</v>
      </c>
      <c r="I44" s="22">
        <v>1.0</v>
      </c>
      <c r="J44" s="22">
        <v>0.0</v>
      </c>
      <c r="K44" s="22">
        <v>1.0</v>
      </c>
      <c r="L44" s="15">
        <v>0.1333333333333333</v>
      </c>
      <c r="M44" s="15">
        <v>0.1333333333333333</v>
      </c>
      <c r="N44" s="15">
        <v>0.0</v>
      </c>
      <c r="O44" s="15">
        <v>0.0</v>
      </c>
      <c r="P44" s="5"/>
    </row>
    <row r="45">
      <c r="A45" s="21" t="s">
        <v>36</v>
      </c>
      <c r="B45" s="5" t="s">
        <v>30</v>
      </c>
      <c r="C45" s="22">
        <v>2.0</v>
      </c>
      <c r="D45" s="22">
        <v>0.0</v>
      </c>
      <c r="E45" s="22">
        <v>0.0</v>
      </c>
      <c r="F45" s="22">
        <v>0.0</v>
      </c>
      <c r="G45" s="22">
        <v>0.0</v>
      </c>
      <c r="H45" s="22">
        <v>0.0</v>
      </c>
      <c r="I45" s="22">
        <v>0.0</v>
      </c>
      <c r="J45" s="22">
        <v>0.0</v>
      </c>
      <c r="K45" s="22">
        <v>0.0</v>
      </c>
      <c r="L45" s="15">
        <v>0.0</v>
      </c>
      <c r="M45" s="15">
        <v>0.0</v>
      </c>
      <c r="N45" s="15">
        <v>0.0</v>
      </c>
      <c r="O45" s="15">
        <v>0.0</v>
      </c>
      <c r="P45" s="5"/>
    </row>
    <row r="46">
      <c r="A46" s="21" t="s">
        <v>36</v>
      </c>
      <c r="B46" s="5" t="s">
        <v>21</v>
      </c>
      <c r="C46" s="22">
        <v>17.0</v>
      </c>
      <c r="D46" s="22">
        <v>4.0</v>
      </c>
      <c r="E46" s="22">
        <v>1.0</v>
      </c>
      <c r="F46" s="22">
        <v>1.0</v>
      </c>
      <c r="G46" s="22">
        <v>0.0</v>
      </c>
      <c r="H46" s="22">
        <v>3.0</v>
      </c>
      <c r="I46" s="22">
        <v>0.0</v>
      </c>
      <c r="J46" s="22">
        <v>0.0</v>
      </c>
      <c r="K46" s="22">
        <v>0.0</v>
      </c>
      <c r="L46" s="15">
        <v>0.2352941176470588</v>
      </c>
      <c r="M46" s="15">
        <v>0.1764705882352941</v>
      </c>
      <c r="N46" s="15">
        <v>0.0</v>
      </c>
      <c r="O46" s="15">
        <v>0.0</v>
      </c>
      <c r="P46" s="5"/>
    </row>
    <row r="47">
      <c r="A47" s="21" t="s">
        <v>36</v>
      </c>
      <c r="B47" s="5" t="s">
        <v>22</v>
      </c>
      <c r="C47" s="22">
        <v>25.0</v>
      </c>
      <c r="D47" s="22">
        <v>4.0</v>
      </c>
      <c r="E47" s="22">
        <v>0.0</v>
      </c>
      <c r="F47" s="22">
        <v>1.0</v>
      </c>
      <c r="G47" s="22">
        <v>0.0</v>
      </c>
      <c r="H47" s="22">
        <v>3.0</v>
      </c>
      <c r="I47" s="22">
        <v>2.0</v>
      </c>
      <c r="J47" s="22">
        <v>2.0</v>
      </c>
      <c r="K47" s="22">
        <v>0.0</v>
      </c>
      <c r="L47" s="15">
        <v>0.16</v>
      </c>
      <c r="M47" s="15">
        <v>0.12</v>
      </c>
      <c r="N47" s="15">
        <v>0.08</v>
      </c>
      <c r="O47" s="15">
        <v>0.6666666666666666</v>
      </c>
      <c r="P47" s="5" t="s">
        <v>85</v>
      </c>
    </row>
    <row r="48">
      <c r="A48" s="21" t="s">
        <v>36</v>
      </c>
      <c r="B48" s="5" t="s">
        <v>31</v>
      </c>
      <c r="C48" s="22">
        <v>19.0</v>
      </c>
      <c r="D48" s="22">
        <v>6.0</v>
      </c>
      <c r="E48" s="22">
        <v>0.0</v>
      </c>
      <c r="F48" s="22">
        <v>2.0</v>
      </c>
      <c r="G48" s="22">
        <v>1.0</v>
      </c>
      <c r="H48" s="22">
        <v>4.0</v>
      </c>
      <c r="I48" s="22">
        <v>1.0</v>
      </c>
      <c r="J48" s="22">
        <v>1.0</v>
      </c>
      <c r="K48" s="22">
        <v>0.0</v>
      </c>
      <c r="L48" s="15">
        <v>0.3157894736842105</v>
      </c>
      <c r="M48" s="15">
        <v>0.2105263157894737</v>
      </c>
      <c r="N48" s="15">
        <v>0.05263157894736842</v>
      </c>
      <c r="O48" s="15">
        <v>0.25</v>
      </c>
      <c r="P48" s="5" t="s">
        <v>86</v>
      </c>
    </row>
    <row r="49">
      <c r="A49" s="21" t="s">
        <v>36</v>
      </c>
      <c r="B49" s="5" t="s">
        <v>23</v>
      </c>
      <c r="C49" s="22">
        <v>3.0</v>
      </c>
      <c r="D49" s="22">
        <v>2.0</v>
      </c>
      <c r="E49" s="22">
        <v>0.0</v>
      </c>
      <c r="F49" s="22">
        <v>0.0</v>
      </c>
      <c r="G49" s="22">
        <v>0.0</v>
      </c>
      <c r="H49" s="22">
        <v>2.0</v>
      </c>
      <c r="I49" s="22">
        <v>0.0</v>
      </c>
      <c r="J49" s="22">
        <v>0.0</v>
      </c>
      <c r="K49" s="22">
        <v>0.0</v>
      </c>
      <c r="L49" s="15">
        <v>0.6666666666666666</v>
      </c>
      <c r="M49" s="15">
        <v>0.6666666666666666</v>
      </c>
      <c r="N49" s="15">
        <v>0.0</v>
      </c>
      <c r="O49" s="15">
        <v>0.0</v>
      </c>
      <c r="P49" s="5"/>
    </row>
    <row r="50">
      <c r="A50" s="21" t="s">
        <v>36</v>
      </c>
      <c r="B50" s="5" t="s">
        <v>24</v>
      </c>
      <c r="C50" s="22">
        <v>1.0</v>
      </c>
      <c r="D50" s="22">
        <v>0.0</v>
      </c>
      <c r="E50" s="22">
        <v>0.0</v>
      </c>
      <c r="F50" s="22">
        <v>0.0</v>
      </c>
      <c r="G50" s="22">
        <v>0.0</v>
      </c>
      <c r="H50" s="22">
        <v>0.0</v>
      </c>
      <c r="I50" s="22">
        <v>0.0</v>
      </c>
      <c r="J50" s="22">
        <v>0.0</v>
      </c>
      <c r="K50" s="22">
        <v>0.0</v>
      </c>
      <c r="L50" s="15">
        <v>0.0</v>
      </c>
      <c r="M50" s="15">
        <v>0.0</v>
      </c>
      <c r="N50" s="15">
        <v>0.0</v>
      </c>
      <c r="O50" s="15">
        <v>0.0</v>
      </c>
      <c r="P50" s="5"/>
    </row>
    <row r="51">
      <c r="A51" s="21" t="s">
        <v>36</v>
      </c>
      <c r="B51" s="5" t="s">
        <v>25</v>
      </c>
      <c r="C51" s="22">
        <v>21.0</v>
      </c>
      <c r="D51" s="22">
        <v>4.0</v>
      </c>
      <c r="E51" s="22">
        <v>0.0</v>
      </c>
      <c r="F51" s="22">
        <v>0.0</v>
      </c>
      <c r="G51" s="22">
        <v>0.0</v>
      </c>
      <c r="H51" s="22">
        <v>4.0</v>
      </c>
      <c r="I51" s="22">
        <v>1.0</v>
      </c>
      <c r="J51" s="22">
        <v>0.0</v>
      </c>
      <c r="K51" s="22">
        <v>1.0</v>
      </c>
      <c r="L51" s="15">
        <v>0.1904761904761905</v>
      </c>
      <c r="M51" s="15">
        <v>0.1904761904761905</v>
      </c>
      <c r="N51" s="15">
        <v>0.0</v>
      </c>
      <c r="O51" s="15">
        <v>0.0</v>
      </c>
      <c r="P51" s="5"/>
    </row>
    <row r="52">
      <c r="A52" s="21" t="s">
        <v>36</v>
      </c>
      <c r="B52" s="5" t="s">
        <v>26</v>
      </c>
      <c r="C52" s="22">
        <v>9.0</v>
      </c>
      <c r="D52" s="22">
        <v>6.0</v>
      </c>
      <c r="E52" s="22">
        <v>2.0</v>
      </c>
      <c r="F52" s="22">
        <v>2.0</v>
      </c>
      <c r="G52" s="22">
        <v>0.0</v>
      </c>
      <c r="H52" s="22">
        <v>4.0</v>
      </c>
      <c r="I52" s="22">
        <v>0.0</v>
      </c>
      <c r="J52" s="22">
        <v>0.0</v>
      </c>
      <c r="K52" s="22">
        <v>0.0</v>
      </c>
      <c r="L52" s="15">
        <v>0.6666666666666666</v>
      </c>
      <c r="M52" s="15">
        <v>0.4444444444444444</v>
      </c>
      <c r="N52" s="15">
        <v>0.0</v>
      </c>
      <c r="O52" s="15">
        <v>0.0</v>
      </c>
      <c r="P52" s="5"/>
    </row>
    <row r="53">
      <c r="A53" s="21" t="s">
        <v>36</v>
      </c>
      <c r="B53" s="5" t="s">
        <v>27</v>
      </c>
      <c r="C53" s="22">
        <v>36.0</v>
      </c>
      <c r="D53" s="22">
        <v>9.0</v>
      </c>
      <c r="E53" s="22">
        <v>1.0</v>
      </c>
      <c r="F53" s="22">
        <v>0.0</v>
      </c>
      <c r="G53" s="22">
        <v>8.0</v>
      </c>
      <c r="H53" s="22">
        <v>9.0</v>
      </c>
      <c r="I53" s="22">
        <v>0.0</v>
      </c>
      <c r="J53" s="22">
        <v>0.0</v>
      </c>
      <c r="K53" s="22">
        <v>0.0</v>
      </c>
      <c r="L53" s="15">
        <v>0.25</v>
      </c>
      <c r="M53" s="15">
        <v>0.25</v>
      </c>
      <c r="N53" s="15">
        <v>0.0</v>
      </c>
      <c r="O53" s="15">
        <v>0.0</v>
      </c>
      <c r="P53" s="5"/>
    </row>
    <row r="54">
      <c r="A54" s="23" t="s">
        <v>36</v>
      </c>
      <c r="B54" s="9"/>
      <c r="C54" s="24"/>
      <c r="D54" s="24"/>
      <c r="E54" s="24"/>
      <c r="F54" s="24"/>
      <c r="G54" s="24"/>
      <c r="H54" s="24"/>
      <c r="I54" s="24"/>
      <c r="J54" s="24"/>
      <c r="K54" s="24"/>
      <c r="L54" s="16"/>
      <c r="M54" s="16"/>
      <c r="N54" s="16"/>
      <c r="O54" s="16"/>
      <c r="P54" s="9"/>
    </row>
    <row r="55">
      <c r="A55" s="21" t="s">
        <v>39</v>
      </c>
      <c r="B55" s="5" t="s">
        <v>17</v>
      </c>
      <c r="C55" s="22">
        <v>2.0</v>
      </c>
      <c r="D55" s="22">
        <v>0.0</v>
      </c>
      <c r="E55" s="22">
        <v>0.0</v>
      </c>
      <c r="F55" s="22">
        <v>0.0</v>
      </c>
      <c r="G55" s="22">
        <v>0.0</v>
      </c>
      <c r="H55" s="22">
        <v>0.0</v>
      </c>
      <c r="I55" s="22">
        <v>0.0</v>
      </c>
      <c r="J55" s="22">
        <v>0.0</v>
      </c>
      <c r="K55" s="22">
        <v>0.0</v>
      </c>
      <c r="L55" s="15">
        <v>0.0</v>
      </c>
      <c r="M55" s="15">
        <v>0.0</v>
      </c>
      <c r="N55" s="15">
        <v>0.0</v>
      </c>
      <c r="O55" s="15">
        <v>0.0</v>
      </c>
      <c r="P55" s="5"/>
    </row>
    <row r="56">
      <c r="A56" s="21" t="s">
        <v>39</v>
      </c>
      <c r="B56" s="5" t="s">
        <v>18</v>
      </c>
      <c r="C56" s="22">
        <v>10.0</v>
      </c>
      <c r="D56" s="22">
        <v>3.0</v>
      </c>
      <c r="E56" s="22">
        <v>1.0</v>
      </c>
      <c r="F56" s="22">
        <v>1.0</v>
      </c>
      <c r="G56" s="22">
        <v>0.0</v>
      </c>
      <c r="H56" s="22">
        <v>2.0</v>
      </c>
      <c r="I56" s="22">
        <v>0.0</v>
      </c>
      <c r="J56" s="22">
        <v>0.0</v>
      </c>
      <c r="K56" s="22">
        <v>0.0</v>
      </c>
      <c r="L56" s="15">
        <v>0.3</v>
      </c>
      <c r="M56" s="15">
        <v>0.2</v>
      </c>
      <c r="N56" s="15">
        <v>0.0</v>
      </c>
      <c r="O56" s="15">
        <v>0.0</v>
      </c>
      <c r="P56" s="5"/>
    </row>
    <row r="57">
      <c r="A57" s="21" t="s">
        <v>39</v>
      </c>
      <c r="B57" s="5" t="s">
        <v>19</v>
      </c>
      <c r="C57" s="22">
        <v>28.0</v>
      </c>
      <c r="D57" s="22">
        <v>4.0</v>
      </c>
      <c r="E57" s="22">
        <v>0.0</v>
      </c>
      <c r="F57" s="22">
        <v>2.0</v>
      </c>
      <c r="G57" s="22">
        <v>0.0</v>
      </c>
      <c r="H57" s="22">
        <v>2.0</v>
      </c>
      <c r="I57" s="22">
        <v>0.0</v>
      </c>
      <c r="J57" s="22">
        <v>0.0</v>
      </c>
      <c r="K57" s="22">
        <v>0.0</v>
      </c>
      <c r="L57" s="15">
        <v>0.1428571428571428</v>
      </c>
      <c r="M57" s="15">
        <v>0.07142857142857142</v>
      </c>
      <c r="N57" s="15">
        <v>0.0</v>
      </c>
      <c r="O57" s="15">
        <v>0.0</v>
      </c>
      <c r="P57" s="5"/>
    </row>
    <row r="58">
      <c r="A58" s="21" t="s">
        <v>39</v>
      </c>
      <c r="B58" s="5" t="s">
        <v>20</v>
      </c>
      <c r="C58" s="22">
        <v>20.0</v>
      </c>
      <c r="D58" s="22">
        <v>2.0</v>
      </c>
      <c r="E58" s="22">
        <v>0.0</v>
      </c>
      <c r="F58" s="22">
        <v>0.0</v>
      </c>
      <c r="G58" s="22">
        <v>2.0</v>
      </c>
      <c r="H58" s="22">
        <v>2.0</v>
      </c>
      <c r="I58" s="22">
        <v>0.0</v>
      </c>
      <c r="J58" s="22">
        <v>0.0</v>
      </c>
      <c r="K58" s="22">
        <v>0.0</v>
      </c>
      <c r="L58" s="15">
        <v>0.1</v>
      </c>
      <c r="M58" s="15">
        <v>0.1</v>
      </c>
      <c r="N58" s="15">
        <v>0.0</v>
      </c>
      <c r="O58" s="15">
        <v>0.0</v>
      </c>
      <c r="P58" s="5"/>
    </row>
    <row r="59">
      <c r="A59" s="21" t="s">
        <v>39</v>
      </c>
      <c r="B59" s="5" t="s">
        <v>30</v>
      </c>
      <c r="C59" s="22">
        <v>2.0</v>
      </c>
      <c r="D59" s="22">
        <v>0.0</v>
      </c>
      <c r="E59" s="22">
        <v>0.0</v>
      </c>
      <c r="F59" s="22">
        <v>0.0</v>
      </c>
      <c r="G59" s="22">
        <v>0.0</v>
      </c>
      <c r="H59" s="22">
        <v>0.0</v>
      </c>
      <c r="I59" s="22">
        <v>0.0</v>
      </c>
      <c r="J59" s="22">
        <v>0.0</v>
      </c>
      <c r="K59" s="22">
        <v>0.0</v>
      </c>
      <c r="L59" s="15">
        <v>0.0</v>
      </c>
      <c r="M59" s="15">
        <v>0.0</v>
      </c>
      <c r="N59" s="15">
        <v>0.0</v>
      </c>
      <c r="O59" s="15">
        <v>0.0</v>
      </c>
      <c r="P59" s="5"/>
    </row>
    <row r="60">
      <c r="A60" s="21" t="s">
        <v>39</v>
      </c>
      <c r="B60" s="5" t="s">
        <v>21</v>
      </c>
      <c r="C60" s="22">
        <v>21.0</v>
      </c>
      <c r="D60" s="22">
        <v>3.0</v>
      </c>
      <c r="E60" s="22">
        <v>0.0</v>
      </c>
      <c r="F60" s="22">
        <v>0.0</v>
      </c>
      <c r="G60" s="22">
        <v>0.0</v>
      </c>
      <c r="H60" s="22">
        <v>3.0</v>
      </c>
      <c r="I60" s="22">
        <v>0.0</v>
      </c>
      <c r="J60" s="22">
        <v>0.0</v>
      </c>
      <c r="K60" s="22">
        <v>0.0</v>
      </c>
      <c r="L60" s="15">
        <v>0.1428571428571428</v>
      </c>
      <c r="M60" s="15">
        <v>0.1428571428571428</v>
      </c>
      <c r="N60" s="15">
        <v>0.0</v>
      </c>
      <c r="O60" s="15">
        <v>0.0</v>
      </c>
      <c r="P60" s="5"/>
    </row>
    <row r="61">
      <c r="A61" s="21" t="s">
        <v>39</v>
      </c>
      <c r="B61" s="5" t="s">
        <v>22</v>
      </c>
      <c r="C61" s="22">
        <v>16.0</v>
      </c>
      <c r="D61" s="22">
        <v>3.0</v>
      </c>
      <c r="E61" s="22">
        <v>0.0</v>
      </c>
      <c r="F61" s="22">
        <v>2.0</v>
      </c>
      <c r="G61" s="22">
        <v>0.0</v>
      </c>
      <c r="H61" s="22">
        <v>1.0</v>
      </c>
      <c r="I61" s="22">
        <v>0.0</v>
      </c>
      <c r="J61" s="22">
        <v>0.0</v>
      </c>
      <c r="K61" s="22">
        <v>0.0</v>
      </c>
      <c r="L61" s="15">
        <v>0.1875</v>
      </c>
      <c r="M61" s="15">
        <v>0.0625</v>
      </c>
      <c r="N61" s="15">
        <v>0.0</v>
      </c>
      <c r="O61" s="15">
        <v>0.0</v>
      </c>
      <c r="P61" s="5"/>
    </row>
    <row r="62">
      <c r="A62" s="21" t="s">
        <v>39</v>
      </c>
      <c r="B62" s="5" t="s">
        <v>31</v>
      </c>
      <c r="C62" s="22">
        <v>17.0</v>
      </c>
      <c r="D62" s="22">
        <v>6.0</v>
      </c>
      <c r="E62" s="22">
        <v>0.0</v>
      </c>
      <c r="F62" s="22">
        <v>2.0</v>
      </c>
      <c r="G62" s="22">
        <v>0.0</v>
      </c>
      <c r="H62" s="22">
        <v>4.0</v>
      </c>
      <c r="I62" s="22">
        <v>2.0</v>
      </c>
      <c r="J62" s="22">
        <v>2.0</v>
      </c>
      <c r="K62" s="22">
        <v>0.0</v>
      </c>
      <c r="L62" s="15">
        <v>0.3529411764705883</v>
      </c>
      <c r="M62" s="15">
        <v>0.2352941176470588</v>
      </c>
      <c r="N62" s="15">
        <v>0.1176470588235294</v>
      </c>
      <c r="O62" s="15">
        <v>0.5</v>
      </c>
      <c r="P62" s="5" t="s">
        <v>87</v>
      </c>
    </row>
    <row r="63">
      <c r="A63" s="21" t="s">
        <v>39</v>
      </c>
      <c r="B63" s="5" t="s">
        <v>23</v>
      </c>
      <c r="C63" s="22">
        <v>6.0</v>
      </c>
      <c r="D63" s="22">
        <v>3.0</v>
      </c>
      <c r="E63" s="22">
        <v>0.0</v>
      </c>
      <c r="F63" s="22">
        <v>0.0</v>
      </c>
      <c r="G63" s="22">
        <v>0.0</v>
      </c>
      <c r="H63" s="22">
        <v>3.0</v>
      </c>
      <c r="I63" s="22">
        <v>0.0</v>
      </c>
      <c r="J63" s="22">
        <v>0.0</v>
      </c>
      <c r="K63" s="22">
        <v>0.0</v>
      </c>
      <c r="L63" s="15">
        <v>0.5</v>
      </c>
      <c r="M63" s="15">
        <v>0.5</v>
      </c>
      <c r="N63" s="15">
        <v>0.0</v>
      </c>
      <c r="O63" s="15">
        <v>0.0</v>
      </c>
      <c r="P63" s="5"/>
    </row>
    <row r="64">
      <c r="A64" s="21" t="s">
        <v>39</v>
      </c>
      <c r="B64" s="5" t="s">
        <v>24</v>
      </c>
      <c r="C64" s="22">
        <v>2.0</v>
      </c>
      <c r="D64" s="22">
        <v>0.0</v>
      </c>
      <c r="E64" s="22">
        <v>0.0</v>
      </c>
      <c r="F64" s="22">
        <v>0.0</v>
      </c>
      <c r="G64" s="22">
        <v>0.0</v>
      </c>
      <c r="H64" s="22">
        <v>0.0</v>
      </c>
      <c r="I64" s="22">
        <v>0.0</v>
      </c>
      <c r="J64" s="22">
        <v>0.0</v>
      </c>
      <c r="K64" s="22">
        <v>0.0</v>
      </c>
      <c r="L64" s="15">
        <v>0.0</v>
      </c>
      <c r="M64" s="15">
        <v>0.0</v>
      </c>
      <c r="N64" s="15">
        <v>0.0</v>
      </c>
      <c r="O64" s="15">
        <v>0.0</v>
      </c>
      <c r="P64" s="5"/>
    </row>
    <row r="65">
      <c r="A65" s="21" t="s">
        <v>39</v>
      </c>
      <c r="B65" s="5" t="s">
        <v>25</v>
      </c>
      <c r="C65" s="22">
        <v>13.0</v>
      </c>
      <c r="D65" s="22">
        <v>2.0</v>
      </c>
      <c r="E65" s="22">
        <v>0.0</v>
      </c>
      <c r="F65" s="22">
        <v>0.0</v>
      </c>
      <c r="G65" s="22">
        <v>0.0</v>
      </c>
      <c r="H65" s="22">
        <v>2.0</v>
      </c>
      <c r="I65" s="22">
        <v>0.0</v>
      </c>
      <c r="J65" s="22">
        <v>0.0</v>
      </c>
      <c r="K65" s="22">
        <v>0.0</v>
      </c>
      <c r="L65" s="15">
        <v>0.1538461538461539</v>
      </c>
      <c r="M65" s="15">
        <v>0.1538461538461539</v>
      </c>
      <c r="N65" s="15">
        <v>0.0</v>
      </c>
      <c r="O65" s="15">
        <v>0.0</v>
      </c>
      <c r="P65" s="5"/>
    </row>
    <row r="66">
      <c r="A66" s="21" t="s">
        <v>39</v>
      </c>
      <c r="B66" s="5" t="s">
        <v>26</v>
      </c>
      <c r="C66" s="22">
        <v>7.0</v>
      </c>
      <c r="D66" s="22">
        <v>0.0</v>
      </c>
      <c r="E66" s="22">
        <v>0.0</v>
      </c>
      <c r="F66" s="22">
        <v>0.0</v>
      </c>
      <c r="G66" s="22">
        <v>0.0</v>
      </c>
      <c r="H66" s="22">
        <v>0.0</v>
      </c>
      <c r="I66" s="22">
        <v>0.0</v>
      </c>
      <c r="J66" s="22">
        <v>0.0</v>
      </c>
      <c r="K66" s="22">
        <v>0.0</v>
      </c>
      <c r="L66" s="15">
        <v>0.0</v>
      </c>
      <c r="M66" s="15">
        <v>0.0</v>
      </c>
      <c r="N66" s="15">
        <v>0.0</v>
      </c>
      <c r="O66" s="15">
        <v>0.0</v>
      </c>
      <c r="P66" s="5"/>
    </row>
    <row r="67">
      <c r="A67" s="21" t="s">
        <v>39</v>
      </c>
      <c r="B67" s="5" t="s">
        <v>27</v>
      </c>
      <c r="C67" s="22">
        <v>30.0</v>
      </c>
      <c r="D67" s="22">
        <v>7.0</v>
      </c>
      <c r="E67" s="22">
        <v>0.0</v>
      </c>
      <c r="F67" s="22">
        <v>0.0</v>
      </c>
      <c r="G67" s="22">
        <v>7.0</v>
      </c>
      <c r="H67" s="22">
        <v>7.0</v>
      </c>
      <c r="I67" s="22">
        <v>2.0</v>
      </c>
      <c r="J67" s="22">
        <v>2.0</v>
      </c>
      <c r="K67" s="22">
        <v>0.0</v>
      </c>
      <c r="L67" s="15">
        <v>0.2333333333333333</v>
      </c>
      <c r="M67" s="15">
        <v>0.2333333333333333</v>
      </c>
      <c r="N67" s="15">
        <v>0.06666666666666667</v>
      </c>
      <c r="O67" s="15">
        <v>0.2857142857142857</v>
      </c>
      <c r="P67" s="5" t="s">
        <v>88</v>
      </c>
    </row>
    <row r="68">
      <c r="A68" s="23" t="s">
        <v>39</v>
      </c>
      <c r="B68" s="9"/>
      <c r="C68" s="24"/>
      <c r="D68" s="24"/>
      <c r="E68" s="24"/>
      <c r="F68" s="24"/>
      <c r="G68" s="24"/>
      <c r="H68" s="24"/>
      <c r="I68" s="24"/>
      <c r="J68" s="24"/>
      <c r="K68" s="24"/>
      <c r="L68" s="16"/>
      <c r="M68" s="16"/>
      <c r="N68" s="16"/>
      <c r="O68" s="16"/>
      <c r="P68" s="9"/>
    </row>
    <row r="69">
      <c r="A69" s="21" t="s">
        <v>45</v>
      </c>
      <c r="B69" s="5" t="s">
        <v>17</v>
      </c>
      <c r="C69" s="22">
        <v>6.0</v>
      </c>
      <c r="D69" s="22">
        <v>0.0</v>
      </c>
      <c r="E69" s="22">
        <v>0.0</v>
      </c>
      <c r="F69" s="22">
        <v>0.0</v>
      </c>
      <c r="G69" s="22">
        <v>0.0</v>
      </c>
      <c r="H69" s="22">
        <v>0.0</v>
      </c>
      <c r="I69" s="22">
        <v>0.0</v>
      </c>
      <c r="J69" s="22">
        <v>0.0</v>
      </c>
      <c r="K69" s="22">
        <v>0.0</v>
      </c>
      <c r="L69" s="15">
        <v>0.0</v>
      </c>
      <c r="M69" s="15">
        <v>0.0</v>
      </c>
      <c r="N69" s="15">
        <v>0.0</v>
      </c>
      <c r="O69" s="15">
        <v>0.0</v>
      </c>
      <c r="P69" s="5"/>
    </row>
    <row r="70">
      <c r="A70" s="21" t="s">
        <v>45</v>
      </c>
      <c r="B70" s="5" t="s">
        <v>18</v>
      </c>
      <c r="C70" s="22">
        <v>15.0</v>
      </c>
      <c r="D70" s="22">
        <v>8.0</v>
      </c>
      <c r="E70" s="22">
        <v>2.0</v>
      </c>
      <c r="F70" s="22">
        <v>4.0</v>
      </c>
      <c r="G70" s="22">
        <v>0.0</v>
      </c>
      <c r="H70" s="22">
        <v>4.0</v>
      </c>
      <c r="I70" s="22">
        <v>1.0</v>
      </c>
      <c r="J70" s="22">
        <v>1.0</v>
      </c>
      <c r="K70" s="22">
        <v>0.0</v>
      </c>
      <c r="L70" s="15">
        <v>0.5333333333333333</v>
      </c>
      <c r="M70" s="15">
        <v>0.2666666666666667</v>
      </c>
      <c r="N70" s="15">
        <v>0.06666666666666667</v>
      </c>
      <c r="O70" s="15">
        <v>0.25</v>
      </c>
      <c r="P70" s="5" t="s">
        <v>46</v>
      </c>
    </row>
    <row r="71">
      <c r="A71" s="21" t="s">
        <v>45</v>
      </c>
      <c r="B71" s="5" t="s">
        <v>19</v>
      </c>
      <c r="C71" s="22">
        <v>58.0</v>
      </c>
      <c r="D71" s="22">
        <v>4.0</v>
      </c>
      <c r="E71" s="22">
        <v>0.0</v>
      </c>
      <c r="F71" s="22">
        <v>1.0</v>
      </c>
      <c r="G71" s="22">
        <v>0.0</v>
      </c>
      <c r="H71" s="22">
        <v>3.0</v>
      </c>
      <c r="I71" s="22">
        <v>0.0</v>
      </c>
      <c r="J71" s="22">
        <v>0.0</v>
      </c>
      <c r="K71" s="22">
        <v>0.0</v>
      </c>
      <c r="L71" s="15">
        <v>0.06896551724137931</v>
      </c>
      <c r="M71" s="15">
        <v>0.05172413793103448</v>
      </c>
      <c r="N71" s="15">
        <v>0.0</v>
      </c>
      <c r="O71" s="15">
        <v>0.0</v>
      </c>
      <c r="P71" s="5"/>
    </row>
    <row r="72">
      <c r="A72" s="21" t="s">
        <v>45</v>
      </c>
      <c r="B72" s="5" t="s">
        <v>20</v>
      </c>
      <c r="C72" s="22">
        <v>38.0</v>
      </c>
      <c r="D72" s="22">
        <v>3.0</v>
      </c>
      <c r="E72" s="22">
        <v>0.0</v>
      </c>
      <c r="F72" s="22">
        <v>0.0</v>
      </c>
      <c r="G72" s="22">
        <v>3.0</v>
      </c>
      <c r="H72" s="22">
        <v>3.0</v>
      </c>
      <c r="I72" s="22">
        <v>0.0</v>
      </c>
      <c r="J72" s="22">
        <v>0.0</v>
      </c>
      <c r="K72" s="22">
        <v>0.0</v>
      </c>
      <c r="L72" s="15">
        <v>0.07894736842105263</v>
      </c>
      <c r="M72" s="15">
        <v>0.07894736842105263</v>
      </c>
      <c r="N72" s="15">
        <v>0.0</v>
      </c>
      <c r="O72" s="15">
        <v>0.0</v>
      </c>
      <c r="P72" s="5"/>
    </row>
    <row r="73">
      <c r="A73" s="21" t="s">
        <v>45</v>
      </c>
      <c r="B73" s="5" t="s">
        <v>30</v>
      </c>
      <c r="C73" s="22">
        <v>4.0</v>
      </c>
      <c r="D73" s="22">
        <v>0.0</v>
      </c>
      <c r="E73" s="22">
        <v>0.0</v>
      </c>
      <c r="F73" s="22">
        <v>0.0</v>
      </c>
      <c r="G73" s="22">
        <v>0.0</v>
      </c>
      <c r="H73" s="22">
        <v>0.0</v>
      </c>
      <c r="I73" s="22">
        <v>0.0</v>
      </c>
      <c r="J73" s="22">
        <v>0.0</v>
      </c>
      <c r="K73" s="22">
        <v>0.0</v>
      </c>
      <c r="L73" s="15">
        <v>0.0</v>
      </c>
      <c r="M73" s="15">
        <v>0.0</v>
      </c>
      <c r="N73" s="15">
        <v>0.0</v>
      </c>
      <c r="O73" s="15">
        <v>0.0</v>
      </c>
      <c r="P73" s="5"/>
    </row>
    <row r="74">
      <c r="A74" s="21" t="s">
        <v>45</v>
      </c>
      <c r="B74" s="5" t="s">
        <v>21</v>
      </c>
      <c r="C74" s="22">
        <v>29.0</v>
      </c>
      <c r="D74" s="22">
        <v>10.0</v>
      </c>
      <c r="E74" s="22">
        <v>0.0</v>
      </c>
      <c r="F74" s="22">
        <v>1.0</v>
      </c>
      <c r="G74" s="22">
        <v>0.0</v>
      </c>
      <c r="H74" s="22">
        <v>9.0</v>
      </c>
      <c r="I74" s="22">
        <v>2.0</v>
      </c>
      <c r="J74" s="22">
        <v>2.0</v>
      </c>
      <c r="K74" s="22">
        <v>0.0</v>
      </c>
      <c r="L74" s="15">
        <v>0.3448275862068966</v>
      </c>
      <c r="M74" s="15">
        <v>0.3103448275862069</v>
      </c>
      <c r="N74" s="15">
        <v>0.06896551724137931</v>
      </c>
      <c r="O74" s="15">
        <v>0.2222222222222222</v>
      </c>
      <c r="P74" s="5" t="s">
        <v>89</v>
      </c>
    </row>
    <row r="75">
      <c r="A75" s="21" t="s">
        <v>45</v>
      </c>
      <c r="B75" s="5" t="s">
        <v>22</v>
      </c>
      <c r="C75" s="22">
        <v>25.0</v>
      </c>
      <c r="D75" s="22">
        <v>4.0</v>
      </c>
      <c r="E75" s="22">
        <v>0.0</v>
      </c>
      <c r="F75" s="22">
        <v>2.0</v>
      </c>
      <c r="G75" s="22">
        <v>0.0</v>
      </c>
      <c r="H75" s="22">
        <v>2.0</v>
      </c>
      <c r="I75" s="22">
        <v>1.0</v>
      </c>
      <c r="J75" s="22">
        <v>1.0</v>
      </c>
      <c r="K75" s="22">
        <v>0.0</v>
      </c>
      <c r="L75" s="15">
        <v>0.16</v>
      </c>
      <c r="M75" s="15">
        <v>0.08</v>
      </c>
      <c r="N75" s="15">
        <v>0.04</v>
      </c>
      <c r="O75" s="15">
        <v>0.5</v>
      </c>
      <c r="P75" s="5" t="s">
        <v>90</v>
      </c>
    </row>
    <row r="76">
      <c r="A76" s="21" t="s">
        <v>45</v>
      </c>
      <c r="B76" s="5" t="s">
        <v>31</v>
      </c>
      <c r="C76" s="22">
        <v>26.0</v>
      </c>
      <c r="D76" s="22">
        <v>7.0</v>
      </c>
      <c r="E76" s="22">
        <v>0.0</v>
      </c>
      <c r="F76" s="22">
        <v>2.0</v>
      </c>
      <c r="G76" s="22">
        <v>0.0</v>
      </c>
      <c r="H76" s="22">
        <v>5.0</v>
      </c>
      <c r="I76" s="22">
        <v>3.0</v>
      </c>
      <c r="J76" s="22">
        <v>2.0</v>
      </c>
      <c r="K76" s="22">
        <v>1.0</v>
      </c>
      <c r="L76" s="15">
        <v>0.2692307692307692</v>
      </c>
      <c r="M76" s="15">
        <v>0.1923076923076923</v>
      </c>
      <c r="N76" s="15">
        <v>0.07692307692307693</v>
      </c>
      <c r="O76" s="15">
        <v>0.4</v>
      </c>
      <c r="P76" s="5" t="s">
        <v>91</v>
      </c>
    </row>
    <row r="77">
      <c r="A77" s="21" t="s">
        <v>45</v>
      </c>
      <c r="B77" s="5" t="s">
        <v>23</v>
      </c>
      <c r="C77" s="22">
        <v>12.0</v>
      </c>
      <c r="D77" s="22">
        <v>3.0</v>
      </c>
      <c r="E77" s="22">
        <v>1.0</v>
      </c>
      <c r="F77" s="22">
        <v>0.0</v>
      </c>
      <c r="G77" s="22">
        <v>1.0</v>
      </c>
      <c r="H77" s="22">
        <v>3.0</v>
      </c>
      <c r="I77" s="22">
        <v>0.0</v>
      </c>
      <c r="J77" s="22">
        <v>0.0</v>
      </c>
      <c r="K77" s="22">
        <v>0.0</v>
      </c>
      <c r="L77" s="15">
        <v>0.25</v>
      </c>
      <c r="M77" s="15">
        <v>0.25</v>
      </c>
      <c r="N77" s="15">
        <v>0.0</v>
      </c>
      <c r="O77" s="15">
        <v>0.0</v>
      </c>
      <c r="P77" s="5"/>
    </row>
    <row r="78">
      <c r="A78" s="21" t="s">
        <v>45</v>
      </c>
      <c r="B78" s="5" t="s">
        <v>25</v>
      </c>
      <c r="C78" s="22">
        <v>16.0</v>
      </c>
      <c r="D78" s="22">
        <v>2.0</v>
      </c>
      <c r="E78" s="22">
        <v>0.0</v>
      </c>
      <c r="F78" s="22">
        <v>1.0</v>
      </c>
      <c r="G78" s="22">
        <v>0.0</v>
      </c>
      <c r="H78" s="22">
        <v>1.0</v>
      </c>
      <c r="I78" s="22">
        <v>0.0</v>
      </c>
      <c r="J78" s="22">
        <v>0.0</v>
      </c>
      <c r="K78" s="22">
        <v>0.0</v>
      </c>
      <c r="L78" s="15">
        <v>0.125</v>
      </c>
      <c r="M78" s="15">
        <v>0.0625</v>
      </c>
      <c r="N78" s="15">
        <v>0.0</v>
      </c>
      <c r="O78" s="15">
        <v>0.0</v>
      </c>
      <c r="P78" s="5"/>
    </row>
    <row r="79">
      <c r="A79" s="21" t="s">
        <v>45</v>
      </c>
      <c r="B79" s="5" t="s">
        <v>26</v>
      </c>
      <c r="C79" s="22">
        <v>9.0</v>
      </c>
      <c r="D79" s="22">
        <v>2.0</v>
      </c>
      <c r="E79" s="22">
        <v>0.0</v>
      </c>
      <c r="F79" s="22">
        <v>0.0</v>
      </c>
      <c r="G79" s="22">
        <v>0.0</v>
      </c>
      <c r="H79" s="22">
        <v>2.0</v>
      </c>
      <c r="I79" s="22">
        <v>0.0</v>
      </c>
      <c r="J79" s="22">
        <v>0.0</v>
      </c>
      <c r="K79" s="22">
        <v>0.0</v>
      </c>
      <c r="L79" s="15">
        <v>0.2222222222222222</v>
      </c>
      <c r="M79" s="15">
        <v>0.2222222222222222</v>
      </c>
      <c r="N79" s="15">
        <v>0.0</v>
      </c>
      <c r="O79" s="15">
        <v>0.0</v>
      </c>
      <c r="P79" s="5"/>
    </row>
    <row r="80">
      <c r="A80" s="21" t="s">
        <v>45</v>
      </c>
      <c r="B80" s="5" t="s">
        <v>27</v>
      </c>
      <c r="C80" s="22">
        <v>34.0</v>
      </c>
      <c r="D80" s="22">
        <v>12.0</v>
      </c>
      <c r="E80" s="22">
        <v>3.0</v>
      </c>
      <c r="F80" s="22">
        <v>0.0</v>
      </c>
      <c r="G80" s="22">
        <v>9.0</v>
      </c>
      <c r="H80" s="22">
        <v>12.0</v>
      </c>
      <c r="I80" s="22">
        <v>0.0</v>
      </c>
      <c r="J80" s="22">
        <v>0.0</v>
      </c>
      <c r="K80" s="22">
        <v>0.0</v>
      </c>
      <c r="L80" s="15">
        <v>0.3529411764705883</v>
      </c>
      <c r="M80" s="15">
        <v>0.3529411764705883</v>
      </c>
      <c r="N80" s="15">
        <v>0.0</v>
      </c>
      <c r="O80" s="15">
        <v>0.0</v>
      </c>
      <c r="P80" s="5"/>
    </row>
    <row r="81">
      <c r="A81" s="23" t="s">
        <v>45</v>
      </c>
      <c r="B81" s="9"/>
      <c r="C81" s="24"/>
      <c r="D81" s="24"/>
      <c r="E81" s="24"/>
      <c r="F81" s="24"/>
      <c r="G81" s="24"/>
      <c r="H81" s="24"/>
      <c r="I81" s="24"/>
      <c r="J81" s="24"/>
      <c r="K81" s="24"/>
      <c r="L81" s="16"/>
      <c r="M81" s="16"/>
      <c r="N81" s="16"/>
      <c r="O81" s="16"/>
      <c r="P81" s="9"/>
    </row>
    <row r="82">
      <c r="A82" s="21" t="s">
        <v>50</v>
      </c>
      <c r="B82" s="5" t="s">
        <v>17</v>
      </c>
      <c r="C82" s="22">
        <v>9.0</v>
      </c>
      <c r="D82" s="22">
        <v>1.0</v>
      </c>
      <c r="E82" s="22">
        <v>0.0</v>
      </c>
      <c r="F82" s="22">
        <v>1.0</v>
      </c>
      <c r="G82" s="22">
        <v>0.0</v>
      </c>
      <c r="H82" s="22">
        <v>0.0</v>
      </c>
      <c r="I82" s="22">
        <v>0.0</v>
      </c>
      <c r="J82" s="22">
        <v>0.0</v>
      </c>
      <c r="K82" s="22">
        <v>0.0</v>
      </c>
      <c r="L82" s="15">
        <v>0.1111111111111111</v>
      </c>
      <c r="M82" s="15">
        <v>0.0</v>
      </c>
      <c r="N82" s="15">
        <v>0.0</v>
      </c>
      <c r="O82" s="15">
        <v>0.0</v>
      </c>
      <c r="P82" s="5"/>
    </row>
    <row r="83">
      <c r="A83" s="21" t="s">
        <v>50</v>
      </c>
      <c r="B83" s="5" t="s">
        <v>18</v>
      </c>
      <c r="C83" s="22">
        <v>20.0</v>
      </c>
      <c r="D83" s="22">
        <v>10.0</v>
      </c>
      <c r="E83" s="22">
        <v>1.0</v>
      </c>
      <c r="F83" s="22">
        <v>3.0</v>
      </c>
      <c r="G83" s="22">
        <v>0.0</v>
      </c>
      <c r="H83" s="22">
        <v>7.0</v>
      </c>
      <c r="I83" s="22">
        <v>3.0</v>
      </c>
      <c r="J83" s="22">
        <v>2.0</v>
      </c>
      <c r="K83" s="22">
        <v>1.0</v>
      </c>
      <c r="L83" s="15">
        <v>0.5</v>
      </c>
      <c r="M83" s="15">
        <v>0.35</v>
      </c>
      <c r="N83" s="15">
        <v>0.1</v>
      </c>
      <c r="O83" s="15">
        <v>0.2857142857142857</v>
      </c>
      <c r="P83" s="5" t="s">
        <v>92</v>
      </c>
    </row>
    <row r="84">
      <c r="A84" s="21" t="s">
        <v>50</v>
      </c>
      <c r="B84" s="5" t="s">
        <v>19</v>
      </c>
      <c r="C84" s="22">
        <v>22.0</v>
      </c>
      <c r="D84" s="22">
        <v>4.0</v>
      </c>
      <c r="E84" s="22">
        <v>0.0</v>
      </c>
      <c r="F84" s="22">
        <v>2.0</v>
      </c>
      <c r="G84" s="22">
        <v>0.0</v>
      </c>
      <c r="H84" s="22">
        <v>2.0</v>
      </c>
      <c r="I84" s="22">
        <v>1.0</v>
      </c>
      <c r="J84" s="22">
        <v>0.0</v>
      </c>
      <c r="K84" s="22">
        <v>1.0</v>
      </c>
      <c r="L84" s="15">
        <v>0.1818181818181818</v>
      </c>
      <c r="M84" s="15">
        <v>0.09090909090909091</v>
      </c>
      <c r="N84" s="15">
        <v>0.0</v>
      </c>
      <c r="O84" s="15">
        <v>0.0</v>
      </c>
      <c r="P84" s="5"/>
    </row>
    <row r="85">
      <c r="A85" s="21" t="s">
        <v>50</v>
      </c>
      <c r="B85" s="5" t="s">
        <v>20</v>
      </c>
      <c r="C85" s="22">
        <v>17.0</v>
      </c>
      <c r="D85" s="22">
        <v>0.0</v>
      </c>
      <c r="E85" s="22">
        <v>0.0</v>
      </c>
      <c r="F85" s="22">
        <v>0.0</v>
      </c>
      <c r="G85" s="22">
        <v>0.0</v>
      </c>
      <c r="H85" s="22">
        <v>0.0</v>
      </c>
      <c r="I85" s="22">
        <v>0.0</v>
      </c>
      <c r="J85" s="22">
        <v>0.0</v>
      </c>
      <c r="K85" s="22">
        <v>0.0</v>
      </c>
      <c r="L85" s="15">
        <v>0.0</v>
      </c>
      <c r="M85" s="15">
        <v>0.0</v>
      </c>
      <c r="N85" s="15">
        <v>0.0</v>
      </c>
      <c r="O85" s="15">
        <v>0.0</v>
      </c>
      <c r="P85" s="5"/>
    </row>
    <row r="86">
      <c r="A86" s="21" t="s">
        <v>50</v>
      </c>
      <c r="B86" s="5" t="s">
        <v>30</v>
      </c>
      <c r="C86" s="22">
        <v>3.0</v>
      </c>
      <c r="D86" s="22">
        <v>1.0</v>
      </c>
      <c r="E86" s="22">
        <v>0.0</v>
      </c>
      <c r="F86" s="22">
        <v>0.0</v>
      </c>
      <c r="G86" s="22">
        <v>0.0</v>
      </c>
      <c r="H86" s="22">
        <v>1.0</v>
      </c>
      <c r="I86" s="22">
        <v>0.0</v>
      </c>
      <c r="J86" s="22">
        <v>0.0</v>
      </c>
      <c r="K86" s="22">
        <v>0.0</v>
      </c>
      <c r="L86" s="15">
        <v>0.3333333333333333</v>
      </c>
      <c r="M86" s="15">
        <v>0.3333333333333333</v>
      </c>
      <c r="N86" s="15">
        <v>0.0</v>
      </c>
      <c r="O86" s="15">
        <v>0.0</v>
      </c>
      <c r="P86" s="5"/>
    </row>
    <row r="87">
      <c r="A87" s="21" t="s">
        <v>50</v>
      </c>
      <c r="B87" s="5" t="s">
        <v>21</v>
      </c>
      <c r="C87" s="22">
        <v>17.0</v>
      </c>
      <c r="D87" s="22">
        <v>3.0</v>
      </c>
      <c r="E87" s="22">
        <v>0.0</v>
      </c>
      <c r="F87" s="22">
        <v>3.0</v>
      </c>
      <c r="G87" s="22">
        <v>0.0</v>
      </c>
      <c r="H87" s="22">
        <v>0.0</v>
      </c>
      <c r="I87" s="22">
        <v>0.0</v>
      </c>
      <c r="J87" s="22">
        <v>0.0</v>
      </c>
      <c r="K87" s="22">
        <v>0.0</v>
      </c>
      <c r="L87" s="15">
        <v>0.1764705882352941</v>
      </c>
      <c r="M87" s="15">
        <v>0.0</v>
      </c>
      <c r="N87" s="15">
        <v>0.0</v>
      </c>
      <c r="O87" s="15">
        <v>0.0</v>
      </c>
      <c r="P87" s="5"/>
    </row>
    <row r="88">
      <c r="A88" s="21" t="s">
        <v>50</v>
      </c>
      <c r="B88" s="5" t="s">
        <v>22</v>
      </c>
      <c r="C88" s="22">
        <v>26.0</v>
      </c>
      <c r="D88" s="22">
        <v>10.0</v>
      </c>
      <c r="E88" s="22">
        <v>1.0</v>
      </c>
      <c r="F88" s="22">
        <v>4.0</v>
      </c>
      <c r="G88" s="22">
        <v>0.0</v>
      </c>
      <c r="H88" s="22">
        <v>6.0</v>
      </c>
      <c r="I88" s="22">
        <v>2.0</v>
      </c>
      <c r="J88" s="22">
        <v>2.0</v>
      </c>
      <c r="K88" s="22">
        <v>0.0</v>
      </c>
      <c r="L88" s="15">
        <v>0.3846153846153846</v>
      </c>
      <c r="M88" s="15">
        <v>0.2307692307692308</v>
      </c>
      <c r="N88" s="15">
        <v>0.07692307692307693</v>
      </c>
      <c r="O88" s="15">
        <v>0.3333333333333333</v>
      </c>
      <c r="P88" s="5" t="s">
        <v>93</v>
      </c>
    </row>
    <row r="89">
      <c r="A89" s="21" t="s">
        <v>50</v>
      </c>
      <c r="B89" s="5" t="s">
        <v>31</v>
      </c>
      <c r="C89" s="22">
        <v>13.0</v>
      </c>
      <c r="D89" s="22">
        <v>5.0</v>
      </c>
      <c r="E89" s="22">
        <v>0.0</v>
      </c>
      <c r="F89" s="22">
        <v>2.0</v>
      </c>
      <c r="G89" s="22">
        <v>0.0</v>
      </c>
      <c r="H89" s="22">
        <v>3.0</v>
      </c>
      <c r="I89" s="22">
        <v>4.0</v>
      </c>
      <c r="J89" s="22">
        <v>4.0</v>
      </c>
      <c r="K89" s="22">
        <v>0.0</v>
      </c>
      <c r="L89" s="15">
        <v>0.3846153846153846</v>
      </c>
      <c r="M89" s="15">
        <v>0.2307692307692308</v>
      </c>
      <c r="N89" s="15">
        <v>0.3076923076923077</v>
      </c>
      <c r="O89" s="15">
        <v>1.333333333333333</v>
      </c>
      <c r="P89" s="5" t="s">
        <v>94</v>
      </c>
    </row>
    <row r="90">
      <c r="A90" s="21" t="s">
        <v>50</v>
      </c>
      <c r="B90" s="5" t="s">
        <v>23</v>
      </c>
      <c r="C90" s="22">
        <v>6.0</v>
      </c>
      <c r="D90" s="22">
        <v>1.0</v>
      </c>
      <c r="E90" s="22">
        <v>0.0</v>
      </c>
      <c r="F90" s="22">
        <v>0.0</v>
      </c>
      <c r="G90" s="22">
        <v>1.0</v>
      </c>
      <c r="H90" s="22">
        <v>1.0</v>
      </c>
      <c r="I90" s="22">
        <v>0.0</v>
      </c>
      <c r="J90" s="22">
        <v>0.0</v>
      </c>
      <c r="K90" s="22">
        <v>0.0</v>
      </c>
      <c r="L90" s="15">
        <v>0.1666666666666667</v>
      </c>
      <c r="M90" s="15">
        <v>0.1666666666666667</v>
      </c>
      <c r="N90" s="15">
        <v>0.0</v>
      </c>
      <c r="O90" s="15">
        <v>0.0</v>
      </c>
      <c r="P90" s="5"/>
    </row>
    <row r="91">
      <c r="A91" s="21" t="s">
        <v>50</v>
      </c>
      <c r="B91" s="5" t="s">
        <v>24</v>
      </c>
      <c r="C91" s="22">
        <v>1.0</v>
      </c>
      <c r="D91" s="22">
        <v>0.0</v>
      </c>
      <c r="E91" s="22">
        <v>0.0</v>
      </c>
      <c r="F91" s="22">
        <v>0.0</v>
      </c>
      <c r="G91" s="22">
        <v>0.0</v>
      </c>
      <c r="H91" s="22">
        <v>0.0</v>
      </c>
      <c r="I91" s="22">
        <v>1.0</v>
      </c>
      <c r="J91" s="22">
        <v>1.0</v>
      </c>
      <c r="K91" s="22">
        <v>0.0</v>
      </c>
      <c r="L91" s="15">
        <v>0.0</v>
      </c>
      <c r="M91" s="15">
        <v>0.0</v>
      </c>
      <c r="N91" s="15">
        <v>1.0</v>
      </c>
      <c r="O91" s="15">
        <v>0.0</v>
      </c>
      <c r="P91" s="5" t="s">
        <v>55</v>
      </c>
    </row>
    <row r="92">
      <c r="A92" s="21" t="s">
        <v>50</v>
      </c>
      <c r="B92" s="5" t="s">
        <v>25</v>
      </c>
      <c r="C92" s="22">
        <v>10.0</v>
      </c>
      <c r="D92" s="22">
        <v>6.0</v>
      </c>
      <c r="E92" s="22">
        <v>1.0</v>
      </c>
      <c r="F92" s="22">
        <v>2.0</v>
      </c>
      <c r="G92" s="22">
        <v>0.0</v>
      </c>
      <c r="H92" s="22">
        <v>4.0</v>
      </c>
      <c r="I92" s="22">
        <v>1.0</v>
      </c>
      <c r="J92" s="22">
        <v>1.0</v>
      </c>
      <c r="K92" s="22">
        <v>0.0</v>
      </c>
      <c r="L92" s="15">
        <v>0.6</v>
      </c>
      <c r="M92" s="15">
        <v>0.4</v>
      </c>
      <c r="N92" s="15">
        <v>0.1</v>
      </c>
      <c r="O92" s="15">
        <v>0.25</v>
      </c>
      <c r="P92" s="5" t="s">
        <v>63</v>
      </c>
    </row>
    <row r="93">
      <c r="A93" s="21" t="s">
        <v>50</v>
      </c>
      <c r="B93" s="5" t="s">
        <v>26</v>
      </c>
      <c r="C93" s="22">
        <v>16.0</v>
      </c>
      <c r="D93" s="22">
        <v>12.0</v>
      </c>
      <c r="E93" s="22">
        <v>0.0</v>
      </c>
      <c r="F93" s="22">
        <v>4.0</v>
      </c>
      <c r="G93" s="22">
        <v>0.0</v>
      </c>
      <c r="H93" s="22">
        <v>8.0</v>
      </c>
      <c r="I93" s="22">
        <v>2.0</v>
      </c>
      <c r="J93" s="22">
        <v>2.0</v>
      </c>
      <c r="K93" s="22">
        <v>0.0</v>
      </c>
      <c r="L93" s="15">
        <v>0.75</v>
      </c>
      <c r="M93" s="15">
        <v>0.5</v>
      </c>
      <c r="N93" s="15">
        <v>0.125</v>
      </c>
      <c r="O93" s="15">
        <v>0.25</v>
      </c>
      <c r="P93" s="5" t="s">
        <v>95</v>
      </c>
    </row>
    <row r="94">
      <c r="A94" s="21" t="s">
        <v>50</v>
      </c>
      <c r="B94" s="5" t="s">
        <v>27</v>
      </c>
      <c r="C94" s="22">
        <v>7.0</v>
      </c>
      <c r="D94" s="22">
        <v>0.0</v>
      </c>
      <c r="E94" s="22">
        <v>0.0</v>
      </c>
      <c r="F94" s="22">
        <v>0.0</v>
      </c>
      <c r="G94" s="22">
        <v>0.0</v>
      </c>
      <c r="H94" s="22">
        <v>0.0</v>
      </c>
      <c r="I94" s="22">
        <v>0.0</v>
      </c>
      <c r="J94" s="22">
        <v>0.0</v>
      </c>
      <c r="K94" s="22">
        <v>0.0</v>
      </c>
      <c r="L94" s="15">
        <v>0.0</v>
      </c>
      <c r="M94" s="15">
        <v>0.0</v>
      </c>
      <c r="N94" s="15">
        <v>0.0</v>
      </c>
      <c r="O94" s="15">
        <v>0.0</v>
      </c>
      <c r="P94" s="5"/>
    </row>
    <row r="95">
      <c r="A95" s="23" t="s">
        <v>50</v>
      </c>
      <c r="B95" s="9"/>
      <c r="C95" s="24"/>
      <c r="D95" s="24"/>
      <c r="E95" s="24"/>
      <c r="F95" s="24"/>
      <c r="G95" s="24"/>
      <c r="H95" s="24"/>
      <c r="I95" s="24"/>
      <c r="J95" s="24"/>
      <c r="K95" s="24"/>
      <c r="L95" s="16"/>
      <c r="M95" s="16"/>
      <c r="N95" s="16"/>
      <c r="O95" s="16"/>
      <c r="P95" s="9"/>
    </row>
    <row r="96">
      <c r="A96" s="21" t="s">
        <v>58</v>
      </c>
      <c r="B96" s="5" t="s">
        <v>18</v>
      </c>
      <c r="C96" s="22">
        <v>4.0</v>
      </c>
      <c r="D96" s="22">
        <v>1.0</v>
      </c>
      <c r="E96" s="22">
        <v>0.0</v>
      </c>
      <c r="F96" s="22">
        <v>0.0</v>
      </c>
      <c r="G96" s="22">
        <v>0.0</v>
      </c>
      <c r="H96" s="22">
        <v>1.0</v>
      </c>
      <c r="I96" s="22">
        <v>1.0</v>
      </c>
      <c r="J96" s="22">
        <v>1.0</v>
      </c>
      <c r="K96" s="22">
        <v>0.0</v>
      </c>
      <c r="L96" s="15">
        <v>0.25</v>
      </c>
      <c r="M96" s="15">
        <v>0.25</v>
      </c>
      <c r="N96" s="15">
        <v>0.25</v>
      </c>
      <c r="O96" s="15">
        <v>1.0</v>
      </c>
      <c r="P96" s="5" t="s">
        <v>96</v>
      </c>
    </row>
    <row r="97">
      <c r="A97" s="21" t="s">
        <v>58</v>
      </c>
      <c r="B97" s="5" t="s">
        <v>19</v>
      </c>
      <c r="C97" s="22">
        <v>6.0</v>
      </c>
      <c r="D97" s="22">
        <v>0.0</v>
      </c>
      <c r="E97" s="22">
        <v>0.0</v>
      </c>
      <c r="F97" s="22">
        <v>0.0</v>
      </c>
      <c r="G97" s="22">
        <v>0.0</v>
      </c>
      <c r="H97" s="22">
        <v>0.0</v>
      </c>
      <c r="I97" s="22">
        <v>0.0</v>
      </c>
      <c r="J97" s="22">
        <v>0.0</v>
      </c>
      <c r="K97" s="22">
        <v>0.0</v>
      </c>
      <c r="L97" s="15">
        <v>0.0</v>
      </c>
      <c r="M97" s="15">
        <v>0.0</v>
      </c>
      <c r="N97" s="15">
        <v>0.0</v>
      </c>
      <c r="O97" s="15">
        <v>0.0</v>
      </c>
      <c r="P97" s="5"/>
    </row>
    <row r="98">
      <c r="A98" s="21" t="s">
        <v>58</v>
      </c>
      <c r="B98" s="5" t="s">
        <v>20</v>
      </c>
      <c r="C98" s="22">
        <v>11.0</v>
      </c>
      <c r="D98" s="22">
        <v>0.0</v>
      </c>
      <c r="E98" s="22">
        <v>0.0</v>
      </c>
      <c r="F98" s="22">
        <v>0.0</v>
      </c>
      <c r="G98" s="22">
        <v>0.0</v>
      </c>
      <c r="H98" s="22">
        <v>0.0</v>
      </c>
      <c r="I98" s="22">
        <v>0.0</v>
      </c>
      <c r="J98" s="22">
        <v>0.0</v>
      </c>
      <c r="K98" s="22">
        <v>0.0</v>
      </c>
      <c r="L98" s="15">
        <v>0.0</v>
      </c>
      <c r="M98" s="15">
        <v>0.0</v>
      </c>
      <c r="N98" s="15">
        <v>0.0</v>
      </c>
      <c r="O98" s="15">
        <v>0.0</v>
      </c>
      <c r="P98" s="5"/>
    </row>
    <row r="99">
      <c r="A99" s="21" t="s">
        <v>58</v>
      </c>
      <c r="B99" s="5" t="s">
        <v>30</v>
      </c>
      <c r="C99" s="22">
        <v>1.0</v>
      </c>
      <c r="D99" s="22">
        <v>1.0</v>
      </c>
      <c r="E99" s="22">
        <v>0.0</v>
      </c>
      <c r="F99" s="22">
        <v>0.0</v>
      </c>
      <c r="G99" s="22">
        <v>0.0</v>
      </c>
      <c r="H99" s="22">
        <v>1.0</v>
      </c>
      <c r="I99" s="22">
        <v>0.0</v>
      </c>
      <c r="J99" s="22">
        <v>0.0</v>
      </c>
      <c r="K99" s="22">
        <v>0.0</v>
      </c>
      <c r="L99" s="15">
        <v>1.0</v>
      </c>
      <c r="M99" s="15">
        <v>1.0</v>
      </c>
      <c r="N99" s="15">
        <v>0.0</v>
      </c>
      <c r="O99" s="15">
        <v>0.0</v>
      </c>
      <c r="P99" s="5"/>
    </row>
    <row r="100">
      <c r="A100" s="21" t="s">
        <v>58</v>
      </c>
      <c r="B100" s="5" t="s">
        <v>21</v>
      </c>
      <c r="C100" s="22">
        <v>4.0</v>
      </c>
      <c r="D100" s="22">
        <v>1.0</v>
      </c>
      <c r="E100" s="22">
        <v>0.0</v>
      </c>
      <c r="F100" s="22">
        <v>1.0</v>
      </c>
      <c r="G100" s="22">
        <v>0.0</v>
      </c>
      <c r="H100" s="22">
        <v>0.0</v>
      </c>
      <c r="I100" s="22">
        <v>0.0</v>
      </c>
      <c r="J100" s="22">
        <v>0.0</v>
      </c>
      <c r="K100" s="22">
        <v>0.0</v>
      </c>
      <c r="L100" s="15">
        <v>0.25</v>
      </c>
      <c r="M100" s="15">
        <v>0.0</v>
      </c>
      <c r="N100" s="15">
        <v>0.0</v>
      </c>
      <c r="O100" s="15">
        <v>0.0</v>
      </c>
      <c r="P100" s="5"/>
    </row>
    <row r="101">
      <c r="A101" s="21" t="s">
        <v>58</v>
      </c>
      <c r="B101" s="5" t="s">
        <v>22</v>
      </c>
      <c r="C101" s="22">
        <v>9.0</v>
      </c>
      <c r="D101" s="22">
        <v>3.0</v>
      </c>
      <c r="E101" s="22">
        <v>1.0</v>
      </c>
      <c r="F101" s="22">
        <v>1.0</v>
      </c>
      <c r="G101" s="22">
        <v>0.0</v>
      </c>
      <c r="H101" s="22">
        <v>2.0</v>
      </c>
      <c r="I101" s="22">
        <v>0.0</v>
      </c>
      <c r="J101" s="22">
        <v>0.0</v>
      </c>
      <c r="K101" s="22">
        <v>0.0</v>
      </c>
      <c r="L101" s="15">
        <v>0.3333333333333333</v>
      </c>
      <c r="M101" s="15">
        <v>0.2222222222222222</v>
      </c>
      <c r="N101" s="15">
        <v>0.0</v>
      </c>
      <c r="O101" s="15">
        <v>0.0</v>
      </c>
      <c r="P101" s="5"/>
    </row>
    <row r="102">
      <c r="A102" s="21" t="s">
        <v>58</v>
      </c>
      <c r="B102" s="5" t="s">
        <v>31</v>
      </c>
      <c r="C102" s="22">
        <v>3.0</v>
      </c>
      <c r="D102" s="22">
        <v>3.0</v>
      </c>
      <c r="E102" s="22">
        <v>1.0</v>
      </c>
      <c r="F102" s="22">
        <v>1.0</v>
      </c>
      <c r="G102" s="22">
        <v>0.0</v>
      </c>
      <c r="H102" s="22">
        <v>2.0</v>
      </c>
      <c r="I102" s="22">
        <v>0.0</v>
      </c>
      <c r="J102" s="22">
        <v>0.0</v>
      </c>
      <c r="K102" s="22">
        <v>0.0</v>
      </c>
      <c r="L102" s="15">
        <v>1.0</v>
      </c>
      <c r="M102" s="15">
        <v>0.6666666666666666</v>
      </c>
      <c r="N102" s="15">
        <v>0.0</v>
      </c>
      <c r="O102" s="15">
        <v>0.0</v>
      </c>
      <c r="P102" s="5"/>
    </row>
    <row r="103">
      <c r="A103" s="21" t="s">
        <v>58</v>
      </c>
      <c r="B103" s="5" t="s">
        <v>23</v>
      </c>
      <c r="C103" s="22">
        <v>1.0</v>
      </c>
      <c r="D103" s="22">
        <v>1.0</v>
      </c>
      <c r="E103" s="22">
        <v>0.0</v>
      </c>
      <c r="F103" s="22">
        <v>0.0</v>
      </c>
      <c r="G103" s="22">
        <v>1.0</v>
      </c>
      <c r="H103" s="22">
        <v>1.0</v>
      </c>
      <c r="I103" s="22">
        <v>0.0</v>
      </c>
      <c r="J103" s="22">
        <v>0.0</v>
      </c>
      <c r="K103" s="22">
        <v>0.0</v>
      </c>
      <c r="L103" s="15">
        <v>1.0</v>
      </c>
      <c r="M103" s="15">
        <v>1.0</v>
      </c>
      <c r="N103" s="15">
        <v>0.0</v>
      </c>
      <c r="O103" s="15">
        <v>0.0</v>
      </c>
      <c r="P103" s="5"/>
    </row>
    <row r="104">
      <c r="A104" s="21" t="s">
        <v>58</v>
      </c>
      <c r="B104" s="5" t="s">
        <v>24</v>
      </c>
      <c r="C104" s="22">
        <v>1.0</v>
      </c>
      <c r="D104" s="22">
        <v>0.0</v>
      </c>
      <c r="E104" s="22">
        <v>0.0</v>
      </c>
      <c r="F104" s="22">
        <v>0.0</v>
      </c>
      <c r="G104" s="22">
        <v>0.0</v>
      </c>
      <c r="H104" s="22">
        <v>0.0</v>
      </c>
      <c r="I104" s="22">
        <v>0.0</v>
      </c>
      <c r="J104" s="22">
        <v>0.0</v>
      </c>
      <c r="K104" s="22">
        <v>0.0</v>
      </c>
      <c r="L104" s="15">
        <v>0.0</v>
      </c>
      <c r="M104" s="15">
        <v>0.0</v>
      </c>
      <c r="N104" s="15">
        <v>0.0</v>
      </c>
      <c r="O104" s="15">
        <v>0.0</v>
      </c>
      <c r="P104" s="5"/>
    </row>
    <row r="105">
      <c r="A105" s="21" t="s">
        <v>58</v>
      </c>
      <c r="B105" s="5" t="s">
        <v>25</v>
      </c>
      <c r="C105" s="22">
        <v>4.0</v>
      </c>
      <c r="D105" s="22">
        <v>1.0</v>
      </c>
      <c r="E105" s="22">
        <v>0.0</v>
      </c>
      <c r="F105" s="22">
        <v>1.0</v>
      </c>
      <c r="G105" s="22">
        <v>0.0</v>
      </c>
      <c r="H105" s="22">
        <v>0.0</v>
      </c>
      <c r="I105" s="22">
        <v>0.0</v>
      </c>
      <c r="J105" s="22">
        <v>0.0</v>
      </c>
      <c r="K105" s="22">
        <v>0.0</v>
      </c>
      <c r="L105" s="15">
        <v>0.25</v>
      </c>
      <c r="M105" s="15">
        <v>0.0</v>
      </c>
      <c r="N105" s="15">
        <v>0.0</v>
      </c>
      <c r="O105" s="15">
        <v>0.0</v>
      </c>
      <c r="P105" s="5"/>
    </row>
    <row r="106">
      <c r="A106" s="21" t="s">
        <v>58</v>
      </c>
      <c r="B106" s="5" t="s">
        <v>26</v>
      </c>
      <c r="C106" s="22">
        <v>3.0</v>
      </c>
      <c r="D106" s="22">
        <v>2.0</v>
      </c>
      <c r="E106" s="22">
        <v>0.0</v>
      </c>
      <c r="F106" s="22">
        <v>1.0</v>
      </c>
      <c r="G106" s="22">
        <v>0.0</v>
      </c>
      <c r="H106" s="22">
        <v>1.0</v>
      </c>
      <c r="I106" s="22">
        <v>1.0</v>
      </c>
      <c r="J106" s="22">
        <v>1.0</v>
      </c>
      <c r="K106" s="22">
        <v>0.0</v>
      </c>
      <c r="L106" s="15">
        <v>0.6666666666666666</v>
      </c>
      <c r="M106" s="15">
        <v>0.3333333333333333</v>
      </c>
      <c r="N106" s="15">
        <v>0.3333333333333333</v>
      </c>
      <c r="O106" s="15">
        <v>1.0</v>
      </c>
      <c r="P106" s="5" t="s">
        <v>97</v>
      </c>
    </row>
    <row r="107">
      <c r="A107" s="23" t="s">
        <v>58</v>
      </c>
      <c r="B107" s="9"/>
      <c r="C107" s="24"/>
      <c r="D107" s="24"/>
      <c r="E107" s="24"/>
      <c r="F107" s="24"/>
      <c r="G107" s="24"/>
      <c r="H107" s="24"/>
      <c r="I107" s="24"/>
      <c r="J107" s="24"/>
      <c r="K107" s="24"/>
      <c r="L107" s="16"/>
      <c r="M107" s="16"/>
      <c r="N107" s="16"/>
      <c r="O107" s="16"/>
      <c r="P107" s="9"/>
    </row>
    <row r="108">
      <c r="A108" s="21" t="s">
        <v>65</v>
      </c>
      <c r="B108" s="5" t="s">
        <v>17</v>
      </c>
      <c r="C108" s="22">
        <v>11.0</v>
      </c>
      <c r="D108" s="22">
        <v>1.0</v>
      </c>
      <c r="E108" s="22">
        <v>0.0</v>
      </c>
      <c r="F108" s="22">
        <v>0.0</v>
      </c>
      <c r="G108" s="22">
        <v>0.0</v>
      </c>
      <c r="H108" s="22">
        <v>1.0</v>
      </c>
      <c r="I108" s="22">
        <v>0.0</v>
      </c>
      <c r="J108" s="22">
        <v>0.0</v>
      </c>
      <c r="K108" s="22">
        <v>0.0</v>
      </c>
      <c r="L108" s="15">
        <v>0.09090909090909091</v>
      </c>
      <c r="M108" s="15">
        <v>0.09090909090909091</v>
      </c>
      <c r="N108" s="15">
        <v>0.0</v>
      </c>
      <c r="O108" s="15">
        <v>0.0</v>
      </c>
      <c r="P108" s="5"/>
    </row>
    <row r="109">
      <c r="A109" s="21" t="s">
        <v>65</v>
      </c>
      <c r="B109" s="5" t="s">
        <v>18</v>
      </c>
      <c r="C109" s="22">
        <v>17.0</v>
      </c>
      <c r="D109" s="22">
        <v>1.0</v>
      </c>
      <c r="E109" s="22">
        <v>0.0</v>
      </c>
      <c r="F109" s="22">
        <v>1.0</v>
      </c>
      <c r="G109" s="22">
        <v>0.0</v>
      </c>
      <c r="H109" s="22">
        <v>0.0</v>
      </c>
      <c r="I109" s="22">
        <v>0.0</v>
      </c>
      <c r="J109" s="22">
        <v>0.0</v>
      </c>
      <c r="K109" s="22">
        <v>0.0</v>
      </c>
      <c r="L109" s="15">
        <v>0.05882352941176471</v>
      </c>
      <c r="M109" s="15">
        <v>0.0</v>
      </c>
      <c r="N109" s="15">
        <v>0.0</v>
      </c>
      <c r="O109" s="15">
        <v>0.0</v>
      </c>
      <c r="P109" s="5"/>
    </row>
    <row r="110">
      <c r="A110" s="21" t="s">
        <v>65</v>
      </c>
      <c r="B110" s="5" t="s">
        <v>19</v>
      </c>
      <c r="C110" s="22">
        <v>16.0</v>
      </c>
      <c r="D110" s="22">
        <v>0.0</v>
      </c>
      <c r="E110" s="22">
        <v>0.0</v>
      </c>
      <c r="F110" s="22">
        <v>0.0</v>
      </c>
      <c r="G110" s="22">
        <v>0.0</v>
      </c>
      <c r="H110" s="22">
        <v>0.0</v>
      </c>
      <c r="I110" s="22">
        <v>0.0</v>
      </c>
      <c r="J110" s="22">
        <v>0.0</v>
      </c>
      <c r="K110" s="22">
        <v>0.0</v>
      </c>
      <c r="L110" s="15">
        <v>0.0</v>
      </c>
      <c r="M110" s="15">
        <v>0.0</v>
      </c>
      <c r="N110" s="15">
        <v>0.0</v>
      </c>
      <c r="O110" s="15">
        <v>0.0</v>
      </c>
      <c r="P110" s="5"/>
    </row>
    <row r="111">
      <c r="A111" s="21" t="s">
        <v>65</v>
      </c>
      <c r="B111" s="5" t="s">
        <v>20</v>
      </c>
      <c r="C111" s="22">
        <v>15.0</v>
      </c>
      <c r="D111" s="22">
        <v>0.0</v>
      </c>
      <c r="E111" s="22">
        <v>0.0</v>
      </c>
      <c r="F111" s="22">
        <v>0.0</v>
      </c>
      <c r="G111" s="22">
        <v>0.0</v>
      </c>
      <c r="H111" s="22">
        <v>0.0</v>
      </c>
      <c r="I111" s="22">
        <v>0.0</v>
      </c>
      <c r="J111" s="22">
        <v>0.0</v>
      </c>
      <c r="K111" s="22">
        <v>0.0</v>
      </c>
      <c r="L111" s="15">
        <v>0.0</v>
      </c>
      <c r="M111" s="15">
        <v>0.0</v>
      </c>
      <c r="N111" s="15">
        <v>0.0</v>
      </c>
      <c r="O111" s="15">
        <v>0.0</v>
      </c>
      <c r="P111" s="5"/>
    </row>
    <row r="112">
      <c r="A112" s="21" t="s">
        <v>65</v>
      </c>
      <c r="B112" s="5" t="s">
        <v>30</v>
      </c>
      <c r="C112" s="22">
        <v>4.0</v>
      </c>
      <c r="D112" s="22">
        <v>0.0</v>
      </c>
      <c r="E112" s="22">
        <v>0.0</v>
      </c>
      <c r="F112" s="22">
        <v>0.0</v>
      </c>
      <c r="G112" s="22">
        <v>0.0</v>
      </c>
      <c r="H112" s="22">
        <v>0.0</v>
      </c>
      <c r="I112" s="22">
        <v>0.0</v>
      </c>
      <c r="J112" s="22">
        <v>0.0</v>
      </c>
      <c r="K112" s="22">
        <v>0.0</v>
      </c>
      <c r="L112" s="15">
        <v>0.0</v>
      </c>
      <c r="M112" s="15">
        <v>0.0</v>
      </c>
      <c r="N112" s="15">
        <v>0.0</v>
      </c>
      <c r="O112" s="15">
        <v>0.0</v>
      </c>
      <c r="P112" s="5"/>
    </row>
    <row r="113">
      <c r="A113" s="21" t="s">
        <v>65</v>
      </c>
      <c r="B113" s="5" t="s">
        <v>21</v>
      </c>
      <c r="C113" s="22">
        <v>13.0</v>
      </c>
      <c r="D113" s="22">
        <v>0.0</v>
      </c>
      <c r="E113" s="22">
        <v>0.0</v>
      </c>
      <c r="F113" s="22">
        <v>0.0</v>
      </c>
      <c r="G113" s="22">
        <v>0.0</v>
      </c>
      <c r="H113" s="22">
        <v>0.0</v>
      </c>
      <c r="I113" s="22">
        <v>0.0</v>
      </c>
      <c r="J113" s="22">
        <v>0.0</v>
      </c>
      <c r="K113" s="22">
        <v>0.0</v>
      </c>
      <c r="L113" s="15">
        <v>0.0</v>
      </c>
      <c r="M113" s="15">
        <v>0.0</v>
      </c>
      <c r="N113" s="15">
        <v>0.0</v>
      </c>
      <c r="O113" s="15">
        <v>0.0</v>
      </c>
      <c r="P113" s="5"/>
    </row>
    <row r="114">
      <c r="A114" s="21" t="s">
        <v>65</v>
      </c>
      <c r="B114" s="5" t="s">
        <v>22</v>
      </c>
      <c r="C114" s="22">
        <v>14.0</v>
      </c>
      <c r="D114" s="22">
        <v>1.0</v>
      </c>
      <c r="E114" s="22">
        <v>0.0</v>
      </c>
      <c r="F114" s="22">
        <v>0.0</v>
      </c>
      <c r="G114" s="22">
        <v>0.0</v>
      </c>
      <c r="H114" s="22">
        <v>1.0</v>
      </c>
      <c r="I114" s="22">
        <v>0.0</v>
      </c>
      <c r="J114" s="22">
        <v>0.0</v>
      </c>
      <c r="K114" s="22">
        <v>0.0</v>
      </c>
      <c r="L114" s="15">
        <v>0.07142857142857142</v>
      </c>
      <c r="M114" s="15">
        <v>0.07142857142857142</v>
      </c>
      <c r="N114" s="15">
        <v>0.0</v>
      </c>
      <c r="O114" s="15">
        <v>0.0</v>
      </c>
      <c r="P114" s="5"/>
    </row>
    <row r="115">
      <c r="A115" s="21" t="s">
        <v>65</v>
      </c>
      <c r="B115" s="5" t="s">
        <v>31</v>
      </c>
      <c r="C115" s="22">
        <v>8.0</v>
      </c>
      <c r="D115" s="22">
        <v>2.0</v>
      </c>
      <c r="E115" s="22">
        <v>0.0</v>
      </c>
      <c r="F115" s="22">
        <v>0.0</v>
      </c>
      <c r="G115" s="22">
        <v>0.0</v>
      </c>
      <c r="H115" s="22">
        <v>2.0</v>
      </c>
      <c r="I115" s="22">
        <v>1.0</v>
      </c>
      <c r="J115" s="22">
        <v>0.0</v>
      </c>
      <c r="K115" s="22">
        <v>1.0</v>
      </c>
      <c r="L115" s="15">
        <v>0.25</v>
      </c>
      <c r="M115" s="15">
        <v>0.25</v>
      </c>
      <c r="N115" s="15">
        <v>0.0</v>
      </c>
      <c r="O115" s="15">
        <v>0.0</v>
      </c>
      <c r="P115" s="5"/>
    </row>
    <row r="116">
      <c r="A116" s="21" t="s">
        <v>65</v>
      </c>
      <c r="B116" s="5" t="s">
        <v>23</v>
      </c>
      <c r="C116" s="22">
        <v>1.0</v>
      </c>
      <c r="D116" s="22">
        <v>1.0</v>
      </c>
      <c r="E116" s="22">
        <v>0.0</v>
      </c>
      <c r="F116" s="22">
        <v>0.0</v>
      </c>
      <c r="G116" s="22">
        <v>1.0</v>
      </c>
      <c r="H116" s="22">
        <v>1.0</v>
      </c>
      <c r="I116" s="22">
        <v>1.0</v>
      </c>
      <c r="J116" s="22">
        <v>1.0</v>
      </c>
      <c r="K116" s="22">
        <v>0.0</v>
      </c>
      <c r="L116" s="15">
        <v>1.0</v>
      </c>
      <c r="M116" s="15">
        <v>1.0</v>
      </c>
      <c r="N116" s="15">
        <v>1.0</v>
      </c>
      <c r="O116" s="15">
        <v>1.0</v>
      </c>
      <c r="P116" s="5" t="s">
        <v>68</v>
      </c>
    </row>
    <row r="117">
      <c r="A117" s="21" t="s">
        <v>65</v>
      </c>
      <c r="B117" s="5" t="s">
        <v>24</v>
      </c>
      <c r="C117" s="22">
        <v>1.0</v>
      </c>
      <c r="D117" s="22">
        <v>0.0</v>
      </c>
      <c r="E117" s="22">
        <v>0.0</v>
      </c>
      <c r="F117" s="22">
        <v>0.0</v>
      </c>
      <c r="G117" s="22">
        <v>0.0</v>
      </c>
      <c r="H117" s="22">
        <v>0.0</v>
      </c>
      <c r="I117" s="22">
        <v>0.0</v>
      </c>
      <c r="J117" s="22">
        <v>0.0</v>
      </c>
      <c r="K117" s="22">
        <v>0.0</v>
      </c>
      <c r="L117" s="15">
        <v>0.0</v>
      </c>
      <c r="M117" s="15">
        <v>0.0</v>
      </c>
      <c r="N117" s="15">
        <v>0.0</v>
      </c>
      <c r="O117" s="15">
        <v>0.0</v>
      </c>
      <c r="P117" s="5"/>
    </row>
    <row r="118">
      <c r="A118" s="21" t="s">
        <v>65</v>
      </c>
      <c r="B118" s="5" t="s">
        <v>26</v>
      </c>
      <c r="C118" s="22">
        <v>4.0</v>
      </c>
      <c r="D118" s="22">
        <v>0.0</v>
      </c>
      <c r="E118" s="22">
        <v>0.0</v>
      </c>
      <c r="F118" s="22">
        <v>0.0</v>
      </c>
      <c r="G118" s="22">
        <v>0.0</v>
      </c>
      <c r="H118" s="22">
        <v>0.0</v>
      </c>
      <c r="I118" s="22">
        <v>1.0</v>
      </c>
      <c r="J118" s="22">
        <v>0.0</v>
      </c>
      <c r="K118" s="22">
        <v>1.0</v>
      </c>
      <c r="L118" s="15">
        <v>0.0</v>
      </c>
      <c r="M118" s="15">
        <v>0.0</v>
      </c>
      <c r="N118" s="15">
        <v>0.0</v>
      </c>
      <c r="O118" s="15">
        <v>0.0</v>
      </c>
      <c r="P118" s="5"/>
    </row>
    <row r="119">
      <c r="A119" s="29" t="s">
        <v>65</v>
      </c>
      <c r="B119" s="17"/>
      <c r="C119" s="30"/>
      <c r="D119" s="30"/>
      <c r="E119" s="30"/>
      <c r="F119" s="30"/>
      <c r="G119" s="30"/>
      <c r="H119" s="30"/>
      <c r="I119" s="30"/>
      <c r="J119" s="30"/>
      <c r="K119" s="30"/>
      <c r="L119" s="19"/>
      <c r="M119" s="19"/>
      <c r="N119" s="19"/>
      <c r="O119" s="19"/>
      <c r="P119" s="17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</row>
  </sheetData>
  <dataValidations>
    <dataValidation type="custom" allowBlank="1" showDropDown="1" sqref="C2:O119">
      <formula1>AND(ISNUMBER(C2),(NOT(OR(NOT(ISERROR(DATEVALUE(C2))), AND(ISNUMBER(C2), LEFT(CELL("format", C2))="D")))))</formula1>
    </dataValidation>
    <dataValidation type="list" allowBlank="1" showDropDown="1" showErrorMessage="1" sqref="A2:A119">
      <formula1>"March 18 - March 22,March 23 - March 29,March 30 - April 5,April 6 - April 12,April 13 - April 19,April 20 - April 26,April 27 - May 3,May 4 - May 10,May 11 - May 17"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13.75"/>
    <col customWidth="1" min="4" max="4" width="12.25"/>
    <col customWidth="1" min="5" max="5" width="15.63"/>
    <col customWidth="1" min="7" max="7" width="12.88"/>
    <col customWidth="1" min="8" max="8" width="12.5"/>
    <col customWidth="1" min="9" max="9" width="16.38"/>
    <col customWidth="1" min="10" max="10" width="15.88"/>
    <col customWidth="1" min="11" max="11" width="16.88"/>
    <col customWidth="1" min="13" max="13" width="15.13"/>
    <col customWidth="1" min="14" max="14" width="16.0"/>
    <col customWidth="1" min="15" max="15" width="15.13"/>
  </cols>
  <sheetData>
    <row r="1" ht="34.5" customHeight="1">
      <c r="A1" s="32" t="s">
        <v>0</v>
      </c>
      <c r="B1" s="32" t="s">
        <v>1</v>
      </c>
      <c r="C1" s="32" t="s">
        <v>2</v>
      </c>
      <c r="D1" s="33" t="s">
        <v>98</v>
      </c>
      <c r="E1" s="32" t="s">
        <v>3</v>
      </c>
      <c r="F1" s="34" t="s">
        <v>99</v>
      </c>
      <c r="G1" s="33" t="s">
        <v>100</v>
      </c>
      <c r="H1" s="32" t="s">
        <v>5</v>
      </c>
      <c r="I1" s="32" t="s">
        <v>6</v>
      </c>
      <c r="J1" s="32" t="s">
        <v>7</v>
      </c>
      <c r="K1" s="34" t="s">
        <v>8</v>
      </c>
      <c r="L1" s="34" t="s">
        <v>9</v>
      </c>
      <c r="M1" s="34" t="s">
        <v>101</v>
      </c>
      <c r="N1" s="34" t="s">
        <v>13</v>
      </c>
      <c r="O1" s="34" t="s">
        <v>10</v>
      </c>
      <c r="P1" s="34" t="s">
        <v>14</v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>
      <c r="A2" s="36" t="s">
        <v>102</v>
      </c>
      <c r="B2" s="37" t="s">
        <v>103</v>
      </c>
      <c r="C2" s="37">
        <v>98.0</v>
      </c>
      <c r="D2" s="37">
        <v>96.0</v>
      </c>
      <c r="E2" s="38">
        <v>2.0</v>
      </c>
      <c r="F2" s="39">
        <v>0.02040816326530612</v>
      </c>
      <c r="G2" s="38">
        <v>0.0</v>
      </c>
      <c r="H2" s="38">
        <v>1.0</v>
      </c>
      <c r="I2" s="38">
        <v>0.0</v>
      </c>
      <c r="J2" s="37">
        <v>1.0</v>
      </c>
      <c r="K2" s="38">
        <v>0.0</v>
      </c>
      <c r="L2" s="38">
        <v>0.0</v>
      </c>
      <c r="M2" s="39">
        <v>0.01020408163265306</v>
      </c>
      <c r="N2" s="39">
        <v>0.0</v>
      </c>
      <c r="O2" s="39">
        <v>0.0</v>
      </c>
      <c r="P2" s="39">
        <v>0.0</v>
      </c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>
      <c r="A3" s="36" t="s">
        <v>104</v>
      </c>
      <c r="B3" s="37" t="s">
        <v>103</v>
      </c>
      <c r="C3" s="38">
        <v>127.0</v>
      </c>
      <c r="D3" s="38">
        <v>123.0</v>
      </c>
      <c r="E3" s="38">
        <v>34.0</v>
      </c>
      <c r="F3" s="39">
        <v>0.2677165354330709</v>
      </c>
      <c r="G3" s="38">
        <v>4.0</v>
      </c>
      <c r="H3" s="38">
        <v>11.0</v>
      </c>
      <c r="I3" s="38">
        <v>10.0</v>
      </c>
      <c r="J3" s="37">
        <v>23.0</v>
      </c>
      <c r="K3" s="38">
        <v>5.0</v>
      </c>
      <c r="L3" s="38">
        <v>5.0</v>
      </c>
      <c r="M3" s="39">
        <v>0.1811023622047244</v>
      </c>
      <c r="N3" s="39">
        <v>0.0</v>
      </c>
      <c r="O3" s="39">
        <v>0.03937007874015748</v>
      </c>
      <c r="P3" s="39">
        <v>0.2173913043478261</v>
      </c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>
      <c r="A4" s="36" t="s">
        <v>105</v>
      </c>
      <c r="B4" s="37" t="s">
        <v>103</v>
      </c>
      <c r="C4" s="37">
        <v>117.0</v>
      </c>
      <c r="D4" s="37">
        <v>115.0</v>
      </c>
      <c r="E4" s="38">
        <v>23.0</v>
      </c>
      <c r="F4" s="39">
        <v>0.1965811965811966</v>
      </c>
      <c r="G4" s="38">
        <v>3.0</v>
      </c>
      <c r="H4" s="38">
        <v>5.0</v>
      </c>
      <c r="I4" s="38">
        <v>3.0</v>
      </c>
      <c r="J4" s="37">
        <v>18.0</v>
      </c>
      <c r="K4" s="38">
        <v>3.0</v>
      </c>
      <c r="L4" s="38">
        <v>3.0</v>
      </c>
      <c r="M4" s="39">
        <v>0.1538461538461539</v>
      </c>
      <c r="N4" s="39">
        <v>0.0</v>
      </c>
      <c r="O4" s="39">
        <v>0.02564102564102564</v>
      </c>
      <c r="P4" s="39">
        <v>0.1666666666666667</v>
      </c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</row>
    <row r="5">
      <c r="A5" s="36" t="s">
        <v>106</v>
      </c>
      <c r="B5" s="37" t="s">
        <v>103</v>
      </c>
      <c r="C5" s="38">
        <v>219.0</v>
      </c>
      <c r="D5" s="38">
        <v>215.0</v>
      </c>
      <c r="E5" s="38">
        <v>33.0</v>
      </c>
      <c r="F5" s="39">
        <v>0.1506849315068493</v>
      </c>
      <c r="G5" s="38">
        <v>5.0</v>
      </c>
      <c r="H5" s="38">
        <v>4.0</v>
      </c>
      <c r="I5" s="38">
        <v>9.0</v>
      </c>
      <c r="J5" s="37">
        <v>29.0</v>
      </c>
      <c r="K5" s="38">
        <v>5.0</v>
      </c>
      <c r="L5" s="38">
        <v>5.0</v>
      </c>
      <c r="M5" s="39">
        <v>0.1324200913242009</v>
      </c>
      <c r="N5" s="39">
        <v>0.0</v>
      </c>
      <c r="O5" s="39">
        <v>0.0228310502283105</v>
      </c>
      <c r="P5" s="39">
        <v>0.1724137931034483</v>
      </c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>
      <c r="A6" s="36" t="s">
        <v>107</v>
      </c>
      <c r="B6" s="37" t="s">
        <v>103</v>
      </c>
      <c r="C6" s="38">
        <v>174.0</v>
      </c>
      <c r="D6" s="38">
        <v>172.0</v>
      </c>
      <c r="E6" s="37">
        <v>41.0</v>
      </c>
      <c r="F6" s="39">
        <v>0.235632183908046</v>
      </c>
      <c r="G6" s="37">
        <v>4.0</v>
      </c>
      <c r="H6" s="38">
        <v>13.0</v>
      </c>
      <c r="I6" s="38">
        <v>7.0</v>
      </c>
      <c r="J6" s="37">
        <v>28.0</v>
      </c>
      <c r="K6" s="38">
        <v>7.0</v>
      </c>
      <c r="L6" s="38">
        <v>6.0</v>
      </c>
      <c r="M6" s="39">
        <v>0.1609195402298851</v>
      </c>
      <c r="N6" s="39">
        <v>1.0</v>
      </c>
      <c r="O6" s="39">
        <v>0.03448275862068965</v>
      </c>
      <c r="P6" s="39">
        <v>0.2142857142857143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>
      <c r="A7" s="36" t="s">
        <v>108</v>
      </c>
      <c r="B7" s="37" t="s">
        <v>103</v>
      </c>
      <c r="C7" s="37">
        <v>272.0</v>
      </c>
      <c r="D7" s="37">
        <v>270.0</v>
      </c>
      <c r="E7" s="37">
        <v>47.0</v>
      </c>
      <c r="F7" s="39">
        <v>0.1727941176470588</v>
      </c>
      <c r="G7" s="37">
        <v>4.0</v>
      </c>
      <c r="H7" s="37">
        <v>8.0</v>
      </c>
      <c r="I7" s="37">
        <v>9.0</v>
      </c>
      <c r="J7" s="37">
        <v>39.0</v>
      </c>
      <c r="K7" s="38">
        <v>5.0</v>
      </c>
      <c r="L7" s="38">
        <v>5.0</v>
      </c>
      <c r="M7" s="39">
        <v>0.1433823529411765</v>
      </c>
      <c r="N7" s="39">
        <v>0.0</v>
      </c>
      <c r="O7" s="39">
        <v>0.01838235294117647</v>
      </c>
      <c r="P7" s="39">
        <v>0.1282051282051282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</row>
    <row r="8">
      <c r="A8" s="36" t="s">
        <v>109</v>
      </c>
      <c r="B8" s="37" t="s">
        <v>103</v>
      </c>
      <c r="C8" s="37">
        <v>167.0</v>
      </c>
      <c r="D8" s="37">
        <v>154.0</v>
      </c>
      <c r="E8" s="37">
        <v>49.0</v>
      </c>
      <c r="F8" s="39">
        <v>0.2934131736526946</v>
      </c>
      <c r="G8" s="37">
        <v>5.0</v>
      </c>
      <c r="H8" s="37">
        <v>12.0</v>
      </c>
      <c r="I8" s="37">
        <v>13.0</v>
      </c>
      <c r="J8" s="37">
        <v>37.0</v>
      </c>
      <c r="K8" s="36">
        <v>12.0</v>
      </c>
      <c r="L8" s="36">
        <v>10.0</v>
      </c>
      <c r="M8" s="39">
        <v>0.2215568862275449</v>
      </c>
      <c r="N8" s="39">
        <v>2.0</v>
      </c>
      <c r="O8" s="39">
        <v>0.05988023952095808</v>
      </c>
      <c r="P8" s="39">
        <v>0.2702702702702703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</row>
    <row r="9">
      <c r="A9" s="36" t="s">
        <v>58</v>
      </c>
      <c r="B9" s="37" t="s">
        <v>103</v>
      </c>
      <c r="C9" s="37">
        <v>47.0</v>
      </c>
      <c r="D9" s="37">
        <v>45.0</v>
      </c>
      <c r="E9" s="37">
        <v>55.0</v>
      </c>
      <c r="F9" s="39">
        <v>1.170212765957447</v>
      </c>
      <c r="G9" s="37">
        <v>4.0</v>
      </c>
      <c r="H9" s="37">
        <v>15.0</v>
      </c>
      <c r="I9" s="37">
        <v>4.0</v>
      </c>
      <c r="J9" s="37">
        <v>40.0</v>
      </c>
      <c r="K9" s="36">
        <v>13.0</v>
      </c>
      <c r="L9" s="36">
        <v>9.0</v>
      </c>
      <c r="M9" s="39">
        <v>0.851063829787234</v>
      </c>
      <c r="N9" s="39">
        <v>4.0</v>
      </c>
      <c r="O9" s="39">
        <v>0.1914893617021277</v>
      </c>
      <c r="P9" s="39">
        <v>0.225</v>
      </c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</row>
    <row r="10">
      <c r="A10" s="41" t="s">
        <v>65</v>
      </c>
      <c r="B10" s="37" t="s">
        <v>103</v>
      </c>
      <c r="C10" s="37">
        <v>104.0</v>
      </c>
      <c r="D10" s="37">
        <v>79.0</v>
      </c>
      <c r="E10" s="37">
        <v>15.0</v>
      </c>
      <c r="F10" s="39">
        <v>0.1442307692307692</v>
      </c>
      <c r="G10" s="37">
        <v>1.0</v>
      </c>
      <c r="H10" s="37">
        <v>7.0</v>
      </c>
      <c r="I10" s="37">
        <v>1.0</v>
      </c>
      <c r="J10" s="37">
        <v>8.0</v>
      </c>
      <c r="K10" s="36">
        <v>5.0</v>
      </c>
      <c r="L10" s="36">
        <v>2.0</v>
      </c>
      <c r="M10" s="39">
        <v>0.07692307692307693</v>
      </c>
      <c r="N10" s="39">
        <v>3.0</v>
      </c>
      <c r="O10" s="39">
        <v>0.01923076923076923</v>
      </c>
      <c r="P10" s="39">
        <v>0.25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ht="24.0" customHeight="1">
      <c r="A11" s="42" t="s">
        <v>110</v>
      </c>
      <c r="B11" s="43" t="s">
        <v>111</v>
      </c>
      <c r="C11" s="44">
        <f t="shared" ref="C11:E11" si="1">SUM(C2:C10)</f>
        <v>1325</v>
      </c>
      <c r="D11" s="44">
        <f t="shared" si="1"/>
        <v>1269</v>
      </c>
      <c r="E11" s="44">
        <f t="shared" si="1"/>
        <v>299</v>
      </c>
      <c r="F11" s="45">
        <f>IF(C11=0,"",E11/C11)</f>
        <v>0.2256603774</v>
      </c>
      <c r="G11" s="44">
        <f t="shared" ref="G11:L11" si="2">SUM(G2:G10)</f>
        <v>30</v>
      </c>
      <c r="H11" s="44">
        <f t="shared" si="2"/>
        <v>76</v>
      </c>
      <c r="I11" s="44">
        <f t="shared" si="2"/>
        <v>56</v>
      </c>
      <c r="J11" s="43">
        <f t="shared" si="2"/>
        <v>223</v>
      </c>
      <c r="K11" s="44">
        <f t="shared" si="2"/>
        <v>55</v>
      </c>
      <c r="L11" s="44">
        <f t="shared" si="2"/>
        <v>45</v>
      </c>
      <c r="M11" s="45">
        <f>IF(J11=0,"",L11/J11)</f>
        <v>0.201793722</v>
      </c>
      <c r="N11" s="45">
        <f>IF(C11=0,"",L11/C11)</f>
        <v>0.03396226415</v>
      </c>
      <c r="O11" s="44">
        <f>SUM(O2:O10)</f>
        <v>0.4113076366</v>
      </c>
      <c r="P11" s="45">
        <f>IF(E11=0,"",L11/E11)</f>
        <v>0.1505016722</v>
      </c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</row>
    <row r="13">
      <c r="A13" s="46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ht="48.0" customHeight="1">
      <c r="A14" s="47" t="s">
        <v>70</v>
      </c>
      <c r="B14" s="48" t="s">
        <v>1</v>
      </c>
      <c r="C14" s="47" t="s">
        <v>2</v>
      </c>
      <c r="D14" s="47" t="s">
        <v>98</v>
      </c>
      <c r="E14" s="47" t="s">
        <v>71</v>
      </c>
      <c r="F14" s="47" t="s">
        <v>11</v>
      </c>
      <c r="G14" s="47" t="s">
        <v>72</v>
      </c>
      <c r="H14" s="47" t="s">
        <v>73</v>
      </c>
      <c r="I14" s="47" t="s">
        <v>74</v>
      </c>
      <c r="J14" s="47" t="s">
        <v>75</v>
      </c>
      <c r="K14" s="47" t="s">
        <v>76</v>
      </c>
      <c r="L14" s="47" t="s">
        <v>77</v>
      </c>
      <c r="M14" s="47" t="s">
        <v>12</v>
      </c>
      <c r="N14" s="47" t="s">
        <v>13</v>
      </c>
      <c r="O14" s="47" t="s">
        <v>78</v>
      </c>
      <c r="P14" s="47" t="s">
        <v>14</v>
      </c>
      <c r="Q14" s="49" t="s">
        <v>15</v>
      </c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>
      <c r="A15" s="50" t="s">
        <v>16</v>
      </c>
      <c r="B15" s="51" t="s">
        <v>103</v>
      </c>
      <c r="C15" s="50">
        <v>98.0</v>
      </c>
      <c r="D15" s="50">
        <v>96.0</v>
      </c>
      <c r="E15" s="50">
        <v>29.0</v>
      </c>
      <c r="F15" s="39">
        <v>0.2959183673469388</v>
      </c>
      <c r="G15" s="50">
        <v>3.0</v>
      </c>
      <c r="H15" s="50">
        <v>12.0</v>
      </c>
      <c r="I15" s="50">
        <v>6.0</v>
      </c>
      <c r="J15" s="50">
        <v>17.0</v>
      </c>
      <c r="K15" s="50">
        <v>2.0</v>
      </c>
      <c r="L15" s="50">
        <v>2.0</v>
      </c>
      <c r="M15" s="39">
        <v>0.173469387755102</v>
      </c>
      <c r="N15" s="39">
        <v>0.02040816326530612</v>
      </c>
      <c r="O15" s="50">
        <v>0.0</v>
      </c>
      <c r="P15" s="39">
        <v>0.1176470588235294</v>
      </c>
      <c r="Q15" s="52" t="s">
        <v>112</v>
      </c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>
      <c r="A16" s="50" t="s">
        <v>28</v>
      </c>
      <c r="B16" s="53" t="s">
        <v>103</v>
      </c>
      <c r="C16" s="50">
        <v>127.0</v>
      </c>
      <c r="D16" s="50">
        <v>123.0</v>
      </c>
      <c r="E16" s="50">
        <v>25.0</v>
      </c>
      <c r="F16" s="39">
        <v>0.1968503937007874</v>
      </c>
      <c r="G16" s="50">
        <v>4.0</v>
      </c>
      <c r="H16" s="50">
        <v>4.0</v>
      </c>
      <c r="I16" s="50">
        <v>6.0</v>
      </c>
      <c r="J16" s="50">
        <v>21.0</v>
      </c>
      <c r="K16" s="50">
        <v>4.0</v>
      </c>
      <c r="L16" s="50">
        <v>4.0</v>
      </c>
      <c r="M16" s="39">
        <v>0.1653543307086614</v>
      </c>
      <c r="N16" s="39">
        <v>0.03149606299212598</v>
      </c>
      <c r="O16" s="50">
        <v>0.0</v>
      </c>
      <c r="P16" s="39">
        <v>0.1904761904761905</v>
      </c>
      <c r="Q16" s="52" t="s">
        <v>113</v>
      </c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>
      <c r="A17" s="50" t="s">
        <v>33</v>
      </c>
      <c r="B17" s="51" t="s">
        <v>103</v>
      </c>
      <c r="C17" s="36">
        <v>117.0</v>
      </c>
      <c r="D17" s="36">
        <v>115.0</v>
      </c>
      <c r="E17" s="50">
        <v>29.0</v>
      </c>
      <c r="F17" s="39">
        <v>0.2478632478632479</v>
      </c>
      <c r="G17" s="50">
        <v>4.0</v>
      </c>
      <c r="H17" s="50">
        <v>5.0</v>
      </c>
      <c r="I17" s="50">
        <v>5.0</v>
      </c>
      <c r="J17" s="50">
        <v>24.0</v>
      </c>
      <c r="K17" s="50">
        <v>7.0</v>
      </c>
      <c r="L17" s="50">
        <v>7.0</v>
      </c>
      <c r="M17" s="39">
        <v>0.2051282051282051</v>
      </c>
      <c r="N17" s="39">
        <v>0.05982905982905983</v>
      </c>
      <c r="O17" s="50">
        <v>0.0</v>
      </c>
      <c r="P17" s="39">
        <v>0.2916666666666667</v>
      </c>
      <c r="Q17" s="52" t="s">
        <v>114</v>
      </c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>
      <c r="A18" s="50" t="s">
        <v>36</v>
      </c>
      <c r="B18" s="53" t="s">
        <v>103</v>
      </c>
      <c r="C18" s="50">
        <v>219.0</v>
      </c>
      <c r="D18" s="50">
        <v>215.0</v>
      </c>
      <c r="E18" s="50">
        <v>52.0</v>
      </c>
      <c r="F18" s="39">
        <v>0.2374429223744292</v>
      </c>
      <c r="G18" s="50">
        <v>7.0</v>
      </c>
      <c r="H18" s="50">
        <v>10.0</v>
      </c>
      <c r="I18" s="50">
        <v>13.0</v>
      </c>
      <c r="J18" s="50">
        <v>42.0</v>
      </c>
      <c r="K18" s="50">
        <v>7.0</v>
      </c>
      <c r="L18" s="50">
        <v>5.0</v>
      </c>
      <c r="M18" s="39">
        <v>0.1917808219178082</v>
      </c>
      <c r="N18" s="39">
        <v>0.0228310502283105</v>
      </c>
      <c r="O18" s="50">
        <v>2.0</v>
      </c>
      <c r="P18" s="39">
        <v>0.119047619047619</v>
      </c>
      <c r="Q18" s="52" t="s">
        <v>115</v>
      </c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>
      <c r="A19" s="50" t="s">
        <v>39</v>
      </c>
      <c r="B19" s="51" t="s">
        <v>103</v>
      </c>
      <c r="C19" s="50">
        <v>174.0</v>
      </c>
      <c r="D19" s="50">
        <v>172.0</v>
      </c>
      <c r="E19" s="50">
        <v>33.0</v>
      </c>
      <c r="F19" s="39">
        <v>0.1896551724137931</v>
      </c>
      <c r="G19" s="50">
        <v>1.0</v>
      </c>
      <c r="H19" s="50">
        <v>7.0</v>
      </c>
      <c r="I19" s="50">
        <v>9.0</v>
      </c>
      <c r="J19" s="50">
        <v>26.0</v>
      </c>
      <c r="K19" s="50">
        <v>4.0</v>
      </c>
      <c r="L19" s="50">
        <v>4.0</v>
      </c>
      <c r="M19" s="39">
        <v>0.1494252873563219</v>
      </c>
      <c r="N19" s="39">
        <v>0.02298850574712644</v>
      </c>
      <c r="O19" s="50">
        <v>0.0</v>
      </c>
      <c r="P19" s="39">
        <v>0.1538461538461539</v>
      </c>
      <c r="Q19" s="52" t="s">
        <v>116</v>
      </c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>
      <c r="A20" s="50" t="s">
        <v>45</v>
      </c>
      <c r="B20" s="51" t="s">
        <v>103</v>
      </c>
      <c r="C20" s="50">
        <v>272.0</v>
      </c>
      <c r="D20" s="50">
        <v>270.0</v>
      </c>
      <c r="E20" s="50">
        <v>55.0</v>
      </c>
      <c r="F20" s="39">
        <v>0.2022058823529412</v>
      </c>
      <c r="G20" s="50">
        <v>6.0</v>
      </c>
      <c r="H20" s="50">
        <v>11.0</v>
      </c>
      <c r="I20" s="50">
        <v>13.0</v>
      </c>
      <c r="J20" s="50">
        <v>44.0</v>
      </c>
      <c r="K20" s="50">
        <v>7.0</v>
      </c>
      <c r="L20" s="50">
        <v>6.0</v>
      </c>
      <c r="M20" s="39">
        <v>0.1617647058823529</v>
      </c>
      <c r="N20" s="39">
        <v>0.02205882352941177</v>
      </c>
      <c r="O20" s="50">
        <v>1.0</v>
      </c>
      <c r="P20" s="39">
        <v>0.1363636363636364</v>
      </c>
      <c r="Q20" s="52" t="s">
        <v>117</v>
      </c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>
      <c r="A21" s="50" t="s">
        <v>50</v>
      </c>
      <c r="B21" s="51" t="s">
        <v>103</v>
      </c>
      <c r="C21" s="50">
        <v>167.0</v>
      </c>
      <c r="D21" s="50">
        <v>154.0</v>
      </c>
      <c r="E21" s="50">
        <v>53.0</v>
      </c>
      <c r="F21" s="39">
        <v>0.3173652694610778</v>
      </c>
      <c r="G21" s="50">
        <v>3.0</v>
      </c>
      <c r="H21" s="50">
        <v>21.0</v>
      </c>
      <c r="I21" s="50">
        <v>1.0</v>
      </c>
      <c r="J21" s="50">
        <v>32.0</v>
      </c>
      <c r="K21" s="50">
        <v>14.0</v>
      </c>
      <c r="L21" s="50">
        <v>12.0</v>
      </c>
      <c r="M21" s="39">
        <v>0.1916167664670659</v>
      </c>
      <c r="N21" s="39">
        <v>0.0718562874251497</v>
      </c>
      <c r="O21" s="50">
        <v>2.0</v>
      </c>
      <c r="P21" s="39">
        <v>0.375</v>
      </c>
      <c r="Q21" s="52" t="s">
        <v>118</v>
      </c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>
      <c r="A22" s="50" t="s">
        <v>58</v>
      </c>
      <c r="B22" s="51" t="s">
        <v>103</v>
      </c>
      <c r="C22" s="50">
        <v>47.0</v>
      </c>
      <c r="D22" s="50">
        <v>45.0</v>
      </c>
      <c r="E22" s="50">
        <v>13.0</v>
      </c>
      <c r="F22" s="39">
        <v>0.2765957446808511</v>
      </c>
      <c r="G22" s="50">
        <v>2.0</v>
      </c>
      <c r="H22" s="50">
        <v>5.0</v>
      </c>
      <c r="I22" s="50">
        <v>1.0</v>
      </c>
      <c r="J22" s="50">
        <v>8.0</v>
      </c>
      <c r="K22" s="50">
        <v>2.0</v>
      </c>
      <c r="L22" s="50">
        <v>2.0</v>
      </c>
      <c r="M22" s="39">
        <v>0.1702127659574468</v>
      </c>
      <c r="N22" s="39">
        <v>0.0425531914893617</v>
      </c>
      <c r="O22" s="50">
        <v>0.0</v>
      </c>
      <c r="P22" s="39">
        <v>0.25</v>
      </c>
      <c r="Q22" s="52" t="s">
        <v>119</v>
      </c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>
      <c r="A23" s="50" t="s">
        <v>65</v>
      </c>
      <c r="B23" s="51" t="s">
        <v>103</v>
      </c>
      <c r="C23" s="50">
        <v>104.0</v>
      </c>
      <c r="D23" s="50">
        <v>79.0</v>
      </c>
      <c r="E23" s="50">
        <v>6.0</v>
      </c>
      <c r="F23" s="39">
        <v>0.0576923076923077</v>
      </c>
      <c r="G23" s="50">
        <v>0.0</v>
      </c>
      <c r="H23" s="50">
        <v>1.0</v>
      </c>
      <c r="I23" s="50">
        <v>1.0</v>
      </c>
      <c r="J23" s="50">
        <v>5.0</v>
      </c>
      <c r="K23" s="50">
        <v>3.0</v>
      </c>
      <c r="L23" s="50">
        <v>1.0</v>
      </c>
      <c r="M23" s="39">
        <v>0.04807692307692308</v>
      </c>
      <c r="N23" s="39">
        <v>0.009615384615384616</v>
      </c>
      <c r="O23" s="50">
        <v>2.0</v>
      </c>
      <c r="P23" s="39">
        <v>0.2</v>
      </c>
      <c r="Q23" s="52" t="s">
        <v>68</v>
      </c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ht="24.0" customHeight="1">
      <c r="A24" s="54" t="s">
        <v>110</v>
      </c>
      <c r="B24" s="55" t="s">
        <v>103</v>
      </c>
      <c r="C24" s="56">
        <f t="shared" ref="C24:E24" si="3">SUM(C15:C23)</f>
        <v>1325</v>
      </c>
      <c r="D24" s="56">
        <f t="shared" si="3"/>
        <v>1269</v>
      </c>
      <c r="E24" s="56">
        <f t="shared" si="3"/>
        <v>295</v>
      </c>
      <c r="F24" s="57">
        <f>IF(C24=0,"",E24/C24)</f>
        <v>0.2226415094</v>
      </c>
      <c r="G24" s="56">
        <f t="shared" ref="G24:L24" si="4">SUM(G15:G23)</f>
        <v>30</v>
      </c>
      <c r="H24" s="56">
        <f t="shared" si="4"/>
        <v>76</v>
      </c>
      <c r="I24" s="56">
        <f t="shared" si="4"/>
        <v>55</v>
      </c>
      <c r="J24" s="56">
        <f t="shared" si="4"/>
        <v>219</v>
      </c>
      <c r="K24" s="56">
        <f t="shared" si="4"/>
        <v>50</v>
      </c>
      <c r="L24" s="56">
        <f t="shared" si="4"/>
        <v>43</v>
      </c>
      <c r="M24" s="57">
        <f>IF(J24=0,"",L24/J24)</f>
        <v>0.196347032</v>
      </c>
      <c r="N24" s="58">
        <f>IF(C24=0,"",L24/C24)</f>
        <v>0.03245283019</v>
      </c>
      <c r="O24" s="59">
        <f>SUM(O15:O23)</f>
        <v>7</v>
      </c>
      <c r="P24" s="60">
        <f>IF(E24=0,"",L24/E24)</f>
        <v>0.1457627119</v>
      </c>
      <c r="Q24" s="61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</row>
    <row r="100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</row>
    <row r="1004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</row>
  </sheetData>
  <dataValidations>
    <dataValidation type="custom" allowBlank="1" showDropDown="1" sqref="C2:C11 E2:E11 H2:J11 F15:F24 M15:N24 P15:P24">
      <formula1>AND(ISNUMBER(C2),(NOT(OR(NOT(ISERROR(DATEVALUE(C2))), AND(ISNUMBER(C2), LEFT(CELL("format", C2))="D")))))</formula1>
    </dataValidation>
    <dataValidation allowBlank="1" showDropDown="1" sqref="B2:B11"/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8.63"/>
    <col customWidth="1" min="3" max="3" width="19.63"/>
    <col customWidth="1" min="4" max="4" width="11.13"/>
    <col customWidth="1" min="5" max="5" width="10.75"/>
    <col customWidth="1" min="6" max="6" width="11.0"/>
    <col customWidth="1" min="7" max="7" width="14.0"/>
    <col customWidth="1" min="8" max="8" width="13.75"/>
    <col customWidth="1" min="9" max="9" width="15.75"/>
    <col customWidth="1" min="10" max="11" width="14.5"/>
    <col customWidth="1" min="12" max="12" width="14.38"/>
    <col customWidth="1" min="13" max="13" width="17.5"/>
    <col customWidth="1" min="14" max="14" width="16.25"/>
  </cols>
  <sheetData>
    <row r="1" ht="22.5" customHeight="1">
      <c r="A1" s="62" t="s">
        <v>120</v>
      </c>
      <c r="B1" s="63">
        <v>25.0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5"/>
      <c r="P1" s="65"/>
      <c r="Q1" s="65"/>
      <c r="R1" s="65"/>
      <c r="S1" s="65"/>
      <c r="T1" s="65"/>
      <c r="U1" s="65"/>
      <c r="V1" s="66"/>
      <c r="W1" s="66"/>
      <c r="X1" s="66"/>
    </row>
    <row r="2" ht="12.0" customHeight="1">
      <c r="A2" s="67"/>
      <c r="B2" s="68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5"/>
      <c r="P2" s="65"/>
      <c r="Q2" s="65"/>
      <c r="R2" s="65"/>
      <c r="S2" s="65"/>
      <c r="T2" s="65"/>
      <c r="U2" s="65"/>
      <c r="V2" s="66"/>
      <c r="W2" s="66"/>
      <c r="X2" s="66"/>
    </row>
    <row r="3" ht="30.0" customHeight="1">
      <c r="A3" s="69" t="s">
        <v>121</v>
      </c>
      <c r="B3" s="69" t="s">
        <v>1</v>
      </c>
      <c r="C3" s="69" t="s">
        <v>2</v>
      </c>
      <c r="D3" s="69" t="s">
        <v>3</v>
      </c>
      <c r="E3" s="69" t="s">
        <v>122</v>
      </c>
      <c r="F3" s="69" t="s">
        <v>5</v>
      </c>
      <c r="G3" s="69" t="s">
        <v>6</v>
      </c>
      <c r="H3" s="69" t="s">
        <v>7</v>
      </c>
      <c r="I3" s="69" t="s">
        <v>8</v>
      </c>
      <c r="J3" s="69" t="s">
        <v>9</v>
      </c>
      <c r="K3" s="69" t="s">
        <v>10</v>
      </c>
      <c r="L3" s="69" t="s">
        <v>11</v>
      </c>
      <c r="M3" s="69" t="s">
        <v>123</v>
      </c>
      <c r="N3" s="69" t="s">
        <v>124</v>
      </c>
      <c r="O3" s="69" t="s">
        <v>125</v>
      </c>
      <c r="P3" s="69" t="s">
        <v>126</v>
      </c>
      <c r="Q3" s="69" t="s">
        <v>127</v>
      </c>
      <c r="R3" s="69" t="s">
        <v>128</v>
      </c>
      <c r="S3" s="69" t="s">
        <v>129</v>
      </c>
      <c r="T3" s="69" t="s">
        <v>130</v>
      </c>
      <c r="U3" s="69" t="s">
        <v>131</v>
      </c>
      <c r="V3" s="69" t="s">
        <v>132</v>
      </c>
      <c r="W3" s="70" t="s">
        <v>133</v>
      </c>
      <c r="X3" s="70" t="s">
        <v>134</v>
      </c>
    </row>
    <row r="4">
      <c r="A4" s="71" t="s">
        <v>135</v>
      </c>
      <c r="B4" s="72" t="s">
        <v>17</v>
      </c>
      <c r="C4" s="73">
        <v>9.0</v>
      </c>
      <c r="D4" s="73">
        <v>0.0</v>
      </c>
      <c r="E4" s="73">
        <v>0.0</v>
      </c>
      <c r="F4" s="73">
        <v>0.0</v>
      </c>
      <c r="G4" s="73">
        <v>0.0</v>
      </c>
      <c r="H4" s="73">
        <v>0.0</v>
      </c>
      <c r="I4" s="73">
        <v>0.0</v>
      </c>
      <c r="J4" s="73">
        <v>0.0</v>
      </c>
      <c r="K4" s="73">
        <v>0.0</v>
      </c>
      <c r="L4" s="74">
        <f t="shared" ref="L4:L45" si="1">D4/C4</f>
        <v>0</v>
      </c>
      <c r="M4" s="75">
        <f t="shared" ref="M4:M45" si="2">H4/C4</f>
        <v>0</v>
      </c>
      <c r="N4" s="75">
        <f t="shared" ref="N4:N45" si="3">J4/C4</f>
        <v>0</v>
      </c>
      <c r="O4" s="75" t="str">
        <f t="shared" ref="O4:O45" si="4">J4/H4</f>
        <v>#DIV/0!</v>
      </c>
      <c r="P4" s="76">
        <v>0.0</v>
      </c>
      <c r="Q4" s="76">
        <f t="shared" ref="Q4:Q45" si="5">C4*$B$1</f>
        <v>225</v>
      </c>
      <c r="R4" s="76">
        <f t="shared" ref="R4:R45" si="6">P4*3*50%</f>
        <v>0</v>
      </c>
      <c r="S4" s="76">
        <f t="shared" ref="S4:S45" si="7">P4*3-Q4</f>
        <v>-225</v>
      </c>
      <c r="T4" s="76">
        <f t="shared" ref="T4:T45" si="8">P4*6*50%</f>
        <v>0</v>
      </c>
      <c r="U4" s="76">
        <f t="shared" ref="U4:U45" si="9">P4*6-Q4</f>
        <v>-225</v>
      </c>
      <c r="V4" s="76">
        <f t="shared" ref="V4:V45" si="10">P4*12*50%</f>
        <v>0</v>
      </c>
      <c r="W4" s="76">
        <f t="shared" ref="W4:W45" si="11">P4*12-Q4</f>
        <v>-225</v>
      </c>
      <c r="X4" s="77" t="str">
        <f t="shared" ref="X4:X45" si="12">IF(P4&gt;0,Q4/P4,"")</f>
        <v/>
      </c>
    </row>
    <row r="5">
      <c r="A5" s="71" t="s">
        <v>135</v>
      </c>
      <c r="B5" s="72" t="s">
        <v>18</v>
      </c>
      <c r="C5" s="73">
        <v>14.0</v>
      </c>
      <c r="D5" s="73">
        <v>10.0</v>
      </c>
      <c r="E5" s="73">
        <v>0.0</v>
      </c>
      <c r="F5" s="73">
        <v>5.0</v>
      </c>
      <c r="G5" s="73">
        <v>0.0</v>
      </c>
      <c r="H5" s="73">
        <v>5.0</v>
      </c>
      <c r="I5" s="73">
        <v>3.0</v>
      </c>
      <c r="J5" s="73">
        <v>3.0</v>
      </c>
      <c r="K5" s="73">
        <v>0.0</v>
      </c>
      <c r="L5" s="74">
        <f t="shared" si="1"/>
        <v>0.7142857143</v>
      </c>
      <c r="M5" s="75">
        <f t="shared" si="2"/>
        <v>0.3571428571</v>
      </c>
      <c r="N5" s="75">
        <f t="shared" si="3"/>
        <v>0.2142857143</v>
      </c>
      <c r="O5" s="75">
        <f t="shared" si="4"/>
        <v>0.6</v>
      </c>
      <c r="P5" s="76">
        <v>938.0</v>
      </c>
      <c r="Q5" s="76">
        <f t="shared" si="5"/>
        <v>350</v>
      </c>
      <c r="R5" s="76">
        <f t="shared" si="6"/>
        <v>1407</v>
      </c>
      <c r="S5" s="76">
        <f t="shared" si="7"/>
        <v>2464</v>
      </c>
      <c r="T5" s="76">
        <f t="shared" si="8"/>
        <v>2814</v>
      </c>
      <c r="U5" s="76">
        <f t="shared" si="9"/>
        <v>5278</v>
      </c>
      <c r="V5" s="76">
        <f t="shared" si="10"/>
        <v>5628</v>
      </c>
      <c r="W5" s="76">
        <f t="shared" si="11"/>
        <v>10906</v>
      </c>
      <c r="X5" s="77">
        <f t="shared" si="12"/>
        <v>0.3731343284</v>
      </c>
    </row>
    <row r="6">
      <c r="A6" s="71" t="s">
        <v>135</v>
      </c>
      <c r="B6" s="72" t="s">
        <v>19</v>
      </c>
      <c r="C6" s="73">
        <v>52.0</v>
      </c>
      <c r="D6" s="73">
        <v>7.0</v>
      </c>
      <c r="E6" s="73">
        <v>1.0</v>
      </c>
      <c r="F6" s="73">
        <v>2.0</v>
      </c>
      <c r="G6" s="73">
        <v>0.0</v>
      </c>
      <c r="H6" s="73">
        <v>5.0</v>
      </c>
      <c r="I6" s="73">
        <v>0.0</v>
      </c>
      <c r="J6" s="73">
        <v>0.0</v>
      </c>
      <c r="K6" s="73">
        <v>0.0</v>
      </c>
      <c r="L6" s="74">
        <f t="shared" si="1"/>
        <v>0.1346153846</v>
      </c>
      <c r="M6" s="75">
        <f t="shared" si="2"/>
        <v>0.09615384615</v>
      </c>
      <c r="N6" s="75">
        <f t="shared" si="3"/>
        <v>0</v>
      </c>
      <c r="O6" s="75">
        <f t="shared" si="4"/>
        <v>0</v>
      </c>
      <c r="P6" s="76">
        <v>0.0</v>
      </c>
      <c r="Q6" s="76">
        <f t="shared" si="5"/>
        <v>1300</v>
      </c>
      <c r="R6" s="76">
        <f t="shared" si="6"/>
        <v>0</v>
      </c>
      <c r="S6" s="76">
        <f t="shared" si="7"/>
        <v>-1300</v>
      </c>
      <c r="T6" s="76">
        <f t="shared" si="8"/>
        <v>0</v>
      </c>
      <c r="U6" s="76">
        <f t="shared" si="9"/>
        <v>-1300</v>
      </c>
      <c r="V6" s="76">
        <f t="shared" si="10"/>
        <v>0</v>
      </c>
      <c r="W6" s="76">
        <f t="shared" si="11"/>
        <v>-1300</v>
      </c>
      <c r="X6" s="77" t="str">
        <f t="shared" si="12"/>
        <v/>
      </c>
    </row>
    <row r="7">
      <c r="A7" s="71" t="s">
        <v>135</v>
      </c>
      <c r="B7" s="72" t="s">
        <v>20</v>
      </c>
      <c r="C7" s="73">
        <v>25.0</v>
      </c>
      <c r="D7" s="73">
        <v>3.0</v>
      </c>
      <c r="E7" s="73">
        <v>0.0</v>
      </c>
      <c r="F7" s="73">
        <v>0.0</v>
      </c>
      <c r="G7" s="73">
        <v>3.0</v>
      </c>
      <c r="H7" s="73">
        <v>3.0</v>
      </c>
      <c r="I7" s="73">
        <v>0.0</v>
      </c>
      <c r="J7" s="73">
        <v>0.0</v>
      </c>
      <c r="K7" s="73">
        <v>0.0</v>
      </c>
      <c r="L7" s="74">
        <f t="shared" si="1"/>
        <v>0.12</v>
      </c>
      <c r="M7" s="75">
        <f t="shared" si="2"/>
        <v>0.12</v>
      </c>
      <c r="N7" s="75">
        <f t="shared" si="3"/>
        <v>0</v>
      </c>
      <c r="O7" s="75">
        <f t="shared" si="4"/>
        <v>0</v>
      </c>
      <c r="P7" s="76">
        <v>0.0</v>
      </c>
      <c r="Q7" s="76">
        <f t="shared" si="5"/>
        <v>625</v>
      </c>
      <c r="R7" s="76">
        <f t="shared" si="6"/>
        <v>0</v>
      </c>
      <c r="S7" s="76">
        <f t="shared" si="7"/>
        <v>-625</v>
      </c>
      <c r="T7" s="76">
        <f t="shared" si="8"/>
        <v>0</v>
      </c>
      <c r="U7" s="76">
        <f t="shared" si="9"/>
        <v>-625</v>
      </c>
      <c r="V7" s="76">
        <f t="shared" si="10"/>
        <v>0</v>
      </c>
      <c r="W7" s="76">
        <f t="shared" si="11"/>
        <v>-625</v>
      </c>
      <c r="X7" s="77" t="str">
        <f t="shared" si="12"/>
        <v/>
      </c>
    </row>
    <row r="8">
      <c r="A8" s="71" t="s">
        <v>135</v>
      </c>
      <c r="B8" s="72" t="s">
        <v>30</v>
      </c>
      <c r="C8" s="73">
        <v>3.0</v>
      </c>
      <c r="D8" s="73">
        <v>2.0</v>
      </c>
      <c r="E8" s="73">
        <v>0.0</v>
      </c>
      <c r="F8" s="73">
        <v>0.0</v>
      </c>
      <c r="G8" s="73">
        <v>0.0</v>
      </c>
      <c r="H8" s="73">
        <v>2.0</v>
      </c>
      <c r="I8" s="73">
        <v>0.0</v>
      </c>
      <c r="J8" s="73">
        <v>0.0</v>
      </c>
      <c r="K8" s="73">
        <v>0.0</v>
      </c>
      <c r="L8" s="74">
        <f t="shared" si="1"/>
        <v>0.6666666667</v>
      </c>
      <c r="M8" s="75">
        <f t="shared" si="2"/>
        <v>0.6666666667</v>
      </c>
      <c r="N8" s="75">
        <f t="shared" si="3"/>
        <v>0</v>
      </c>
      <c r="O8" s="75">
        <f t="shared" si="4"/>
        <v>0</v>
      </c>
      <c r="P8" s="76">
        <v>0.0</v>
      </c>
      <c r="Q8" s="76">
        <f t="shared" si="5"/>
        <v>75</v>
      </c>
      <c r="R8" s="76">
        <f t="shared" si="6"/>
        <v>0</v>
      </c>
      <c r="S8" s="76">
        <f t="shared" si="7"/>
        <v>-75</v>
      </c>
      <c r="T8" s="76">
        <f t="shared" si="8"/>
        <v>0</v>
      </c>
      <c r="U8" s="76">
        <f t="shared" si="9"/>
        <v>-75</v>
      </c>
      <c r="V8" s="76">
        <f t="shared" si="10"/>
        <v>0</v>
      </c>
      <c r="W8" s="76">
        <f t="shared" si="11"/>
        <v>-75</v>
      </c>
      <c r="X8" s="77" t="str">
        <f t="shared" si="12"/>
        <v/>
      </c>
    </row>
    <row r="9">
      <c r="A9" s="71" t="s">
        <v>135</v>
      </c>
      <c r="B9" s="72" t="s">
        <v>21</v>
      </c>
      <c r="C9" s="73">
        <v>30.0</v>
      </c>
      <c r="D9" s="73">
        <v>11.0</v>
      </c>
      <c r="E9" s="73">
        <v>4.0</v>
      </c>
      <c r="F9" s="73">
        <v>4.0</v>
      </c>
      <c r="G9" s="73">
        <v>0.0</v>
      </c>
      <c r="H9" s="73">
        <v>7.0</v>
      </c>
      <c r="I9" s="73">
        <v>2.0</v>
      </c>
      <c r="J9" s="73">
        <v>2.0</v>
      </c>
      <c r="K9" s="73">
        <v>0.0</v>
      </c>
      <c r="L9" s="74">
        <f t="shared" si="1"/>
        <v>0.3666666667</v>
      </c>
      <c r="M9" s="75">
        <f t="shared" si="2"/>
        <v>0.2333333333</v>
      </c>
      <c r="N9" s="75">
        <f t="shared" si="3"/>
        <v>0.06666666667</v>
      </c>
      <c r="O9" s="75">
        <f t="shared" si="4"/>
        <v>0.2857142857</v>
      </c>
      <c r="P9" s="76">
        <v>750.0</v>
      </c>
      <c r="Q9" s="76">
        <f t="shared" si="5"/>
        <v>750</v>
      </c>
      <c r="R9" s="76">
        <f t="shared" si="6"/>
        <v>1125</v>
      </c>
      <c r="S9" s="76">
        <f t="shared" si="7"/>
        <v>1500</v>
      </c>
      <c r="T9" s="76">
        <f t="shared" si="8"/>
        <v>2250</v>
      </c>
      <c r="U9" s="76">
        <f t="shared" si="9"/>
        <v>3750</v>
      </c>
      <c r="V9" s="76">
        <f t="shared" si="10"/>
        <v>4500</v>
      </c>
      <c r="W9" s="76">
        <f t="shared" si="11"/>
        <v>8250</v>
      </c>
      <c r="X9" s="77">
        <f t="shared" si="12"/>
        <v>1</v>
      </c>
    </row>
    <row r="10">
      <c r="A10" s="71" t="s">
        <v>135</v>
      </c>
      <c r="B10" s="72" t="s">
        <v>22</v>
      </c>
      <c r="C10" s="73">
        <v>19.0</v>
      </c>
      <c r="D10" s="73">
        <v>5.0</v>
      </c>
      <c r="E10" s="73">
        <v>1.0</v>
      </c>
      <c r="F10" s="73">
        <v>2.0</v>
      </c>
      <c r="G10" s="73">
        <v>0.0</v>
      </c>
      <c r="H10" s="73">
        <v>3.0</v>
      </c>
      <c r="I10" s="73">
        <v>0.0</v>
      </c>
      <c r="J10" s="73">
        <v>0.0</v>
      </c>
      <c r="K10" s="73">
        <v>0.0</v>
      </c>
      <c r="L10" s="74">
        <f t="shared" si="1"/>
        <v>0.2631578947</v>
      </c>
      <c r="M10" s="75">
        <f t="shared" si="2"/>
        <v>0.1578947368</v>
      </c>
      <c r="N10" s="75">
        <f t="shared" si="3"/>
        <v>0</v>
      </c>
      <c r="O10" s="75">
        <f t="shared" si="4"/>
        <v>0</v>
      </c>
      <c r="P10" s="76">
        <v>0.0</v>
      </c>
      <c r="Q10" s="76">
        <f t="shared" si="5"/>
        <v>475</v>
      </c>
      <c r="R10" s="76">
        <f t="shared" si="6"/>
        <v>0</v>
      </c>
      <c r="S10" s="76">
        <f t="shared" si="7"/>
        <v>-475</v>
      </c>
      <c r="T10" s="76">
        <f t="shared" si="8"/>
        <v>0</v>
      </c>
      <c r="U10" s="76">
        <f t="shared" si="9"/>
        <v>-475</v>
      </c>
      <c r="V10" s="76">
        <f t="shared" si="10"/>
        <v>0</v>
      </c>
      <c r="W10" s="76">
        <f t="shared" si="11"/>
        <v>-475</v>
      </c>
      <c r="X10" s="77" t="str">
        <f t="shared" si="12"/>
        <v/>
      </c>
    </row>
    <row r="11">
      <c r="A11" s="71" t="s">
        <v>135</v>
      </c>
      <c r="B11" s="72" t="s">
        <v>31</v>
      </c>
      <c r="C11" s="73">
        <v>9.0</v>
      </c>
      <c r="D11" s="73">
        <v>2.0</v>
      </c>
      <c r="E11" s="73">
        <v>1.0</v>
      </c>
      <c r="F11" s="73">
        <v>0.0</v>
      </c>
      <c r="G11" s="73">
        <v>0.0</v>
      </c>
      <c r="H11" s="73">
        <v>2.0</v>
      </c>
      <c r="I11" s="73">
        <v>0.0</v>
      </c>
      <c r="J11" s="73">
        <v>0.0</v>
      </c>
      <c r="K11" s="73">
        <v>0.0</v>
      </c>
      <c r="L11" s="74">
        <f t="shared" si="1"/>
        <v>0.2222222222</v>
      </c>
      <c r="M11" s="75">
        <f t="shared" si="2"/>
        <v>0.2222222222</v>
      </c>
      <c r="N11" s="75">
        <f t="shared" si="3"/>
        <v>0</v>
      </c>
      <c r="O11" s="75">
        <f t="shared" si="4"/>
        <v>0</v>
      </c>
      <c r="P11" s="76">
        <v>0.0</v>
      </c>
      <c r="Q11" s="76">
        <f t="shared" si="5"/>
        <v>225</v>
      </c>
      <c r="R11" s="76">
        <f t="shared" si="6"/>
        <v>0</v>
      </c>
      <c r="S11" s="76">
        <f t="shared" si="7"/>
        <v>-225</v>
      </c>
      <c r="T11" s="76">
        <f t="shared" si="8"/>
        <v>0</v>
      </c>
      <c r="U11" s="76">
        <f t="shared" si="9"/>
        <v>-225</v>
      </c>
      <c r="V11" s="76">
        <f t="shared" si="10"/>
        <v>0</v>
      </c>
      <c r="W11" s="76">
        <f t="shared" si="11"/>
        <v>-225</v>
      </c>
      <c r="X11" s="77" t="str">
        <f t="shared" si="12"/>
        <v/>
      </c>
    </row>
    <row r="12">
      <c r="A12" s="71" t="s">
        <v>135</v>
      </c>
      <c r="B12" s="72" t="s">
        <v>23</v>
      </c>
      <c r="C12" s="73">
        <v>5.0</v>
      </c>
      <c r="D12" s="73">
        <v>1.0</v>
      </c>
      <c r="E12" s="73">
        <v>0.0</v>
      </c>
      <c r="F12" s="73">
        <v>1.0</v>
      </c>
      <c r="G12" s="73">
        <v>0.0</v>
      </c>
      <c r="H12" s="73">
        <v>0.0</v>
      </c>
      <c r="I12" s="73">
        <v>0.0</v>
      </c>
      <c r="J12" s="73">
        <v>0.0</v>
      </c>
      <c r="K12" s="73">
        <v>0.0</v>
      </c>
      <c r="L12" s="74">
        <f t="shared" si="1"/>
        <v>0.2</v>
      </c>
      <c r="M12" s="75">
        <f t="shared" si="2"/>
        <v>0</v>
      </c>
      <c r="N12" s="75">
        <f t="shared" si="3"/>
        <v>0</v>
      </c>
      <c r="O12" s="75" t="str">
        <f t="shared" si="4"/>
        <v>#DIV/0!</v>
      </c>
      <c r="P12" s="76">
        <v>0.0</v>
      </c>
      <c r="Q12" s="76">
        <f t="shared" si="5"/>
        <v>125</v>
      </c>
      <c r="R12" s="76">
        <f t="shared" si="6"/>
        <v>0</v>
      </c>
      <c r="S12" s="76">
        <f t="shared" si="7"/>
        <v>-125</v>
      </c>
      <c r="T12" s="76">
        <f t="shared" si="8"/>
        <v>0</v>
      </c>
      <c r="U12" s="76">
        <f t="shared" si="9"/>
        <v>-125</v>
      </c>
      <c r="V12" s="76">
        <f t="shared" si="10"/>
        <v>0</v>
      </c>
      <c r="W12" s="76">
        <f t="shared" si="11"/>
        <v>-125</v>
      </c>
      <c r="X12" s="77" t="str">
        <f t="shared" si="12"/>
        <v/>
      </c>
    </row>
    <row r="13">
      <c r="A13" s="71" t="s">
        <v>135</v>
      </c>
      <c r="B13" s="72" t="s">
        <v>24</v>
      </c>
      <c r="C13" s="73">
        <v>3.0</v>
      </c>
      <c r="D13" s="73">
        <v>1.0</v>
      </c>
      <c r="E13" s="73">
        <v>0.0</v>
      </c>
      <c r="F13" s="73">
        <v>0.0</v>
      </c>
      <c r="G13" s="73">
        <v>0.0</v>
      </c>
      <c r="H13" s="73">
        <v>1.0</v>
      </c>
      <c r="I13" s="73">
        <v>0.0</v>
      </c>
      <c r="J13" s="73">
        <v>0.0</v>
      </c>
      <c r="K13" s="73">
        <v>0.0</v>
      </c>
      <c r="L13" s="74">
        <f t="shared" si="1"/>
        <v>0.3333333333</v>
      </c>
      <c r="M13" s="75">
        <f t="shared" si="2"/>
        <v>0.3333333333</v>
      </c>
      <c r="N13" s="75">
        <f t="shared" si="3"/>
        <v>0</v>
      </c>
      <c r="O13" s="75">
        <f t="shared" si="4"/>
        <v>0</v>
      </c>
      <c r="P13" s="76">
        <v>0.0</v>
      </c>
      <c r="Q13" s="76">
        <f t="shared" si="5"/>
        <v>75</v>
      </c>
      <c r="R13" s="76">
        <f t="shared" si="6"/>
        <v>0</v>
      </c>
      <c r="S13" s="76">
        <f t="shared" si="7"/>
        <v>-75</v>
      </c>
      <c r="T13" s="76">
        <f t="shared" si="8"/>
        <v>0</v>
      </c>
      <c r="U13" s="76">
        <f t="shared" si="9"/>
        <v>-75</v>
      </c>
      <c r="V13" s="76">
        <f t="shared" si="10"/>
        <v>0</v>
      </c>
      <c r="W13" s="76">
        <f t="shared" si="11"/>
        <v>-75</v>
      </c>
      <c r="X13" s="77" t="str">
        <f t="shared" si="12"/>
        <v/>
      </c>
    </row>
    <row r="14">
      <c r="A14" s="71" t="s">
        <v>135</v>
      </c>
      <c r="B14" s="72" t="s">
        <v>25</v>
      </c>
      <c r="C14" s="73">
        <v>29.0</v>
      </c>
      <c r="D14" s="73">
        <v>6.0</v>
      </c>
      <c r="E14" s="73">
        <v>0.0</v>
      </c>
      <c r="F14" s="73">
        <v>3.0</v>
      </c>
      <c r="G14" s="73">
        <v>0.0</v>
      </c>
      <c r="H14" s="73">
        <v>3.0</v>
      </c>
      <c r="I14" s="73">
        <v>0.0</v>
      </c>
      <c r="J14" s="73">
        <v>0.0</v>
      </c>
      <c r="K14" s="73">
        <v>0.0</v>
      </c>
      <c r="L14" s="74">
        <f t="shared" si="1"/>
        <v>0.2068965517</v>
      </c>
      <c r="M14" s="75">
        <f t="shared" si="2"/>
        <v>0.1034482759</v>
      </c>
      <c r="N14" s="75">
        <f t="shared" si="3"/>
        <v>0</v>
      </c>
      <c r="O14" s="75">
        <f t="shared" si="4"/>
        <v>0</v>
      </c>
      <c r="P14" s="76">
        <v>0.0</v>
      </c>
      <c r="Q14" s="76">
        <f t="shared" si="5"/>
        <v>725</v>
      </c>
      <c r="R14" s="76">
        <f t="shared" si="6"/>
        <v>0</v>
      </c>
      <c r="S14" s="76">
        <f t="shared" si="7"/>
        <v>-725</v>
      </c>
      <c r="T14" s="76">
        <f t="shared" si="8"/>
        <v>0</v>
      </c>
      <c r="U14" s="76">
        <f t="shared" si="9"/>
        <v>-725</v>
      </c>
      <c r="V14" s="76">
        <f t="shared" si="10"/>
        <v>0</v>
      </c>
      <c r="W14" s="76">
        <f t="shared" si="11"/>
        <v>-725</v>
      </c>
      <c r="X14" s="77" t="str">
        <f t="shared" si="12"/>
        <v/>
      </c>
    </row>
    <row r="15">
      <c r="A15" s="71" t="s">
        <v>135</v>
      </c>
      <c r="B15" s="72" t="s">
        <v>26</v>
      </c>
      <c r="C15" s="73">
        <v>11.0</v>
      </c>
      <c r="D15" s="73">
        <v>1.0</v>
      </c>
      <c r="E15" s="73">
        <v>0.0</v>
      </c>
      <c r="F15" s="73">
        <v>0.0</v>
      </c>
      <c r="G15" s="73">
        <v>0.0</v>
      </c>
      <c r="H15" s="73">
        <v>1.0</v>
      </c>
      <c r="I15" s="73">
        <v>0.0</v>
      </c>
      <c r="J15" s="73">
        <v>0.0</v>
      </c>
      <c r="K15" s="73">
        <v>0.0</v>
      </c>
      <c r="L15" s="74">
        <f t="shared" si="1"/>
        <v>0.09090909091</v>
      </c>
      <c r="M15" s="75">
        <f t="shared" si="2"/>
        <v>0.09090909091</v>
      </c>
      <c r="N15" s="75">
        <f t="shared" si="3"/>
        <v>0</v>
      </c>
      <c r="O15" s="75">
        <f t="shared" si="4"/>
        <v>0</v>
      </c>
      <c r="P15" s="76">
        <v>0.0</v>
      </c>
      <c r="Q15" s="76">
        <f t="shared" si="5"/>
        <v>275</v>
      </c>
      <c r="R15" s="76">
        <f t="shared" si="6"/>
        <v>0</v>
      </c>
      <c r="S15" s="76">
        <f t="shared" si="7"/>
        <v>-275</v>
      </c>
      <c r="T15" s="76">
        <f t="shared" si="8"/>
        <v>0</v>
      </c>
      <c r="U15" s="76">
        <f t="shared" si="9"/>
        <v>-275</v>
      </c>
      <c r="V15" s="76">
        <f t="shared" si="10"/>
        <v>0</v>
      </c>
      <c r="W15" s="76">
        <f t="shared" si="11"/>
        <v>-275</v>
      </c>
      <c r="X15" s="77" t="str">
        <f t="shared" si="12"/>
        <v/>
      </c>
    </row>
    <row r="16">
      <c r="A16" s="71" t="s">
        <v>135</v>
      </c>
      <c r="B16" s="72" t="s">
        <v>27</v>
      </c>
      <c r="C16" s="73">
        <v>51.0</v>
      </c>
      <c r="D16" s="73">
        <v>13.0</v>
      </c>
      <c r="E16" s="73">
        <v>2.0</v>
      </c>
      <c r="F16" s="73">
        <v>0.0</v>
      </c>
      <c r="G16" s="73">
        <v>11.0</v>
      </c>
      <c r="H16" s="73">
        <v>13.0</v>
      </c>
      <c r="I16" s="73">
        <v>3.0</v>
      </c>
      <c r="J16" s="73">
        <v>3.0</v>
      </c>
      <c r="K16" s="73">
        <v>0.0</v>
      </c>
      <c r="L16" s="74">
        <f t="shared" si="1"/>
        <v>0.2549019608</v>
      </c>
      <c r="M16" s="75">
        <f t="shared" si="2"/>
        <v>0.2549019608</v>
      </c>
      <c r="N16" s="75">
        <f t="shared" si="3"/>
        <v>0.05882352941</v>
      </c>
      <c r="O16" s="75">
        <f t="shared" si="4"/>
        <v>0.2307692308</v>
      </c>
      <c r="P16" s="76">
        <v>1800.0</v>
      </c>
      <c r="Q16" s="76">
        <f t="shared" si="5"/>
        <v>1275</v>
      </c>
      <c r="R16" s="76">
        <f t="shared" si="6"/>
        <v>2700</v>
      </c>
      <c r="S16" s="76">
        <f t="shared" si="7"/>
        <v>4125</v>
      </c>
      <c r="T16" s="76">
        <f t="shared" si="8"/>
        <v>5400</v>
      </c>
      <c r="U16" s="76">
        <f t="shared" si="9"/>
        <v>9525</v>
      </c>
      <c r="V16" s="76">
        <f t="shared" si="10"/>
        <v>10800</v>
      </c>
      <c r="W16" s="76">
        <f t="shared" si="11"/>
        <v>20325</v>
      </c>
      <c r="X16" s="77">
        <f t="shared" si="12"/>
        <v>0.7083333333</v>
      </c>
    </row>
    <row r="17" ht="22.5" customHeight="1">
      <c r="A17" s="78"/>
      <c r="B17" s="79" t="s">
        <v>103</v>
      </c>
      <c r="C17" s="80">
        <f t="shared" ref="C17:J17" si="13">SUM(C4:C16)</f>
        <v>260</v>
      </c>
      <c r="D17" s="80">
        <f t="shared" si="13"/>
        <v>62</v>
      </c>
      <c r="E17" s="80">
        <f t="shared" si="13"/>
        <v>9</v>
      </c>
      <c r="F17" s="80">
        <f t="shared" si="13"/>
        <v>17</v>
      </c>
      <c r="G17" s="80">
        <f t="shared" si="13"/>
        <v>14</v>
      </c>
      <c r="H17" s="80">
        <f t="shared" si="13"/>
        <v>45</v>
      </c>
      <c r="I17" s="80">
        <f t="shared" si="13"/>
        <v>8</v>
      </c>
      <c r="J17" s="80">
        <f t="shared" si="13"/>
        <v>8</v>
      </c>
      <c r="K17" s="80">
        <v>1.0</v>
      </c>
      <c r="L17" s="81">
        <f t="shared" si="1"/>
        <v>0.2384615385</v>
      </c>
      <c r="M17" s="81">
        <f t="shared" si="2"/>
        <v>0.1730769231</v>
      </c>
      <c r="N17" s="81">
        <f t="shared" si="3"/>
        <v>0.03076923077</v>
      </c>
      <c r="O17" s="81">
        <f t="shared" si="4"/>
        <v>0.1777777778</v>
      </c>
      <c r="P17" s="82">
        <f>SUM(P4:P16)</f>
        <v>3488</v>
      </c>
      <c r="Q17" s="82">
        <f t="shared" si="5"/>
        <v>6500</v>
      </c>
      <c r="R17" s="82">
        <f t="shared" si="6"/>
        <v>5232</v>
      </c>
      <c r="S17" s="82">
        <f t="shared" si="7"/>
        <v>3964</v>
      </c>
      <c r="T17" s="82">
        <f t="shared" si="8"/>
        <v>10464</v>
      </c>
      <c r="U17" s="82">
        <f t="shared" si="9"/>
        <v>14428</v>
      </c>
      <c r="V17" s="82">
        <f t="shared" si="10"/>
        <v>20928</v>
      </c>
      <c r="W17" s="82">
        <f t="shared" si="11"/>
        <v>35356</v>
      </c>
      <c r="X17" s="83">
        <f t="shared" si="12"/>
        <v>1.86353211</v>
      </c>
    </row>
    <row r="18">
      <c r="A18" s="84" t="s">
        <v>136</v>
      </c>
      <c r="B18" s="72" t="s">
        <v>17</v>
      </c>
      <c r="C18" s="73">
        <v>19.0</v>
      </c>
      <c r="D18" s="73">
        <v>1.0</v>
      </c>
      <c r="E18" s="73">
        <v>0.0</v>
      </c>
      <c r="F18" s="73">
        <v>1.0</v>
      </c>
      <c r="G18" s="73">
        <v>0.0</v>
      </c>
      <c r="H18" s="73">
        <v>0.0</v>
      </c>
      <c r="I18" s="73">
        <v>0.0</v>
      </c>
      <c r="J18" s="73">
        <v>0.0</v>
      </c>
      <c r="K18" s="73">
        <v>0.0</v>
      </c>
      <c r="L18" s="74">
        <f t="shared" si="1"/>
        <v>0.05263157895</v>
      </c>
      <c r="M18" s="75">
        <f t="shared" si="2"/>
        <v>0</v>
      </c>
      <c r="N18" s="75">
        <f t="shared" si="3"/>
        <v>0</v>
      </c>
      <c r="O18" s="75" t="str">
        <f t="shared" si="4"/>
        <v>#DIV/0!</v>
      </c>
      <c r="P18" s="76">
        <v>0.0</v>
      </c>
      <c r="Q18" s="76">
        <f t="shared" si="5"/>
        <v>475</v>
      </c>
      <c r="R18" s="76">
        <f t="shared" si="6"/>
        <v>0</v>
      </c>
      <c r="S18" s="76">
        <f t="shared" si="7"/>
        <v>-475</v>
      </c>
      <c r="T18" s="76">
        <f t="shared" si="8"/>
        <v>0</v>
      </c>
      <c r="U18" s="76">
        <f t="shared" si="9"/>
        <v>-475</v>
      </c>
      <c r="V18" s="76">
        <f t="shared" si="10"/>
        <v>0</v>
      </c>
      <c r="W18" s="76">
        <f t="shared" si="11"/>
        <v>-475</v>
      </c>
      <c r="X18" s="77" t="str">
        <f t="shared" si="12"/>
        <v/>
      </c>
    </row>
    <row r="19" ht="18.75" customHeight="1">
      <c r="A19" s="84" t="s">
        <v>136</v>
      </c>
      <c r="B19" s="85" t="s">
        <v>18</v>
      </c>
      <c r="C19" s="73">
        <v>56.0</v>
      </c>
      <c r="D19" s="73">
        <v>24.0</v>
      </c>
      <c r="E19" s="73">
        <v>5.0</v>
      </c>
      <c r="F19" s="73">
        <v>8.0</v>
      </c>
      <c r="G19" s="73">
        <v>0.0</v>
      </c>
      <c r="H19" s="73">
        <v>16.0</v>
      </c>
      <c r="I19" s="73">
        <v>6.0</v>
      </c>
      <c r="J19" s="73">
        <v>5.0</v>
      </c>
      <c r="K19" s="73">
        <v>1.0</v>
      </c>
      <c r="L19" s="74">
        <f t="shared" si="1"/>
        <v>0.4285714286</v>
      </c>
      <c r="M19" s="75">
        <f t="shared" si="2"/>
        <v>0.2857142857</v>
      </c>
      <c r="N19" s="75">
        <f t="shared" si="3"/>
        <v>0.08928571429</v>
      </c>
      <c r="O19" s="75">
        <f t="shared" si="4"/>
        <v>0.3125</v>
      </c>
      <c r="P19" s="76">
        <v>1773.0</v>
      </c>
      <c r="Q19" s="76">
        <f t="shared" si="5"/>
        <v>1400</v>
      </c>
      <c r="R19" s="76">
        <f t="shared" si="6"/>
        <v>2659.5</v>
      </c>
      <c r="S19" s="76">
        <f t="shared" si="7"/>
        <v>3919</v>
      </c>
      <c r="T19" s="76">
        <f t="shared" si="8"/>
        <v>5319</v>
      </c>
      <c r="U19" s="76">
        <f t="shared" si="9"/>
        <v>9238</v>
      </c>
      <c r="V19" s="76">
        <f t="shared" si="10"/>
        <v>10638</v>
      </c>
      <c r="W19" s="76">
        <f t="shared" si="11"/>
        <v>19876</v>
      </c>
      <c r="X19" s="77">
        <f t="shared" si="12"/>
        <v>0.7896221094</v>
      </c>
    </row>
    <row r="20">
      <c r="A20" s="84" t="s">
        <v>136</v>
      </c>
      <c r="B20" s="85" t="s">
        <v>19</v>
      </c>
      <c r="C20" s="73">
        <v>161.0</v>
      </c>
      <c r="D20" s="73">
        <v>20.0</v>
      </c>
      <c r="E20" s="73">
        <v>1.0</v>
      </c>
      <c r="F20" s="73">
        <v>7.0</v>
      </c>
      <c r="G20" s="73">
        <v>0.0</v>
      </c>
      <c r="H20" s="73">
        <v>13.0</v>
      </c>
      <c r="I20" s="73">
        <v>4.0</v>
      </c>
      <c r="J20" s="73">
        <v>3.0</v>
      </c>
      <c r="K20" s="73">
        <v>1.0</v>
      </c>
      <c r="L20" s="74">
        <f t="shared" si="1"/>
        <v>0.1242236025</v>
      </c>
      <c r="M20" s="75">
        <f t="shared" si="2"/>
        <v>0.08074534161</v>
      </c>
      <c r="N20" s="75">
        <f t="shared" si="3"/>
        <v>0.01863354037</v>
      </c>
      <c r="O20" s="75">
        <f t="shared" si="4"/>
        <v>0.2307692308</v>
      </c>
      <c r="P20" s="76">
        <v>800.0</v>
      </c>
      <c r="Q20" s="76">
        <f t="shared" si="5"/>
        <v>4025</v>
      </c>
      <c r="R20" s="76">
        <f t="shared" si="6"/>
        <v>1200</v>
      </c>
      <c r="S20" s="76">
        <f t="shared" si="7"/>
        <v>-1625</v>
      </c>
      <c r="T20" s="76">
        <f t="shared" si="8"/>
        <v>2400</v>
      </c>
      <c r="U20" s="76">
        <f t="shared" si="9"/>
        <v>775</v>
      </c>
      <c r="V20" s="76">
        <f t="shared" si="10"/>
        <v>4800</v>
      </c>
      <c r="W20" s="76">
        <f t="shared" si="11"/>
        <v>5575</v>
      </c>
      <c r="X20" s="77">
        <f t="shared" si="12"/>
        <v>5.03125</v>
      </c>
    </row>
    <row r="21">
      <c r="A21" s="84" t="s">
        <v>136</v>
      </c>
      <c r="B21" s="85" t="s">
        <v>20</v>
      </c>
      <c r="C21" s="73">
        <v>104.0</v>
      </c>
      <c r="D21" s="73">
        <v>9.0</v>
      </c>
      <c r="E21" s="73">
        <v>0.0</v>
      </c>
      <c r="F21" s="73">
        <v>0.0</v>
      </c>
      <c r="G21" s="73">
        <v>9.0</v>
      </c>
      <c r="H21" s="73">
        <v>9.0</v>
      </c>
      <c r="I21" s="73">
        <v>1.0</v>
      </c>
      <c r="J21" s="73">
        <v>0.0</v>
      </c>
      <c r="K21" s="73">
        <v>1.0</v>
      </c>
      <c r="L21" s="74">
        <f t="shared" si="1"/>
        <v>0.08653846154</v>
      </c>
      <c r="M21" s="75">
        <f t="shared" si="2"/>
        <v>0.08653846154</v>
      </c>
      <c r="N21" s="75">
        <f t="shared" si="3"/>
        <v>0</v>
      </c>
      <c r="O21" s="75">
        <f t="shared" si="4"/>
        <v>0</v>
      </c>
      <c r="P21" s="76">
        <v>0.0</v>
      </c>
      <c r="Q21" s="76">
        <f t="shared" si="5"/>
        <v>2600</v>
      </c>
      <c r="R21" s="76">
        <f t="shared" si="6"/>
        <v>0</v>
      </c>
      <c r="S21" s="76">
        <f t="shared" si="7"/>
        <v>-2600</v>
      </c>
      <c r="T21" s="76">
        <f t="shared" si="8"/>
        <v>0</v>
      </c>
      <c r="U21" s="76">
        <f t="shared" si="9"/>
        <v>-2600</v>
      </c>
      <c r="V21" s="76">
        <f t="shared" si="10"/>
        <v>0</v>
      </c>
      <c r="W21" s="76">
        <f t="shared" si="11"/>
        <v>-2600</v>
      </c>
      <c r="X21" s="77" t="str">
        <f t="shared" si="12"/>
        <v/>
      </c>
    </row>
    <row r="22">
      <c r="A22" s="84" t="s">
        <v>136</v>
      </c>
      <c r="B22" s="85" t="s">
        <v>30</v>
      </c>
      <c r="C22" s="73">
        <v>10.0</v>
      </c>
      <c r="D22" s="73">
        <v>0.0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4">
        <f t="shared" si="1"/>
        <v>0</v>
      </c>
      <c r="M22" s="75">
        <f t="shared" si="2"/>
        <v>0</v>
      </c>
      <c r="N22" s="75">
        <f t="shared" si="3"/>
        <v>0</v>
      </c>
      <c r="O22" s="75" t="str">
        <f t="shared" si="4"/>
        <v>#DIV/0!</v>
      </c>
      <c r="P22" s="76">
        <v>0.0</v>
      </c>
      <c r="Q22" s="76">
        <f t="shared" si="5"/>
        <v>250</v>
      </c>
      <c r="R22" s="76">
        <f t="shared" si="6"/>
        <v>0</v>
      </c>
      <c r="S22" s="76">
        <f t="shared" si="7"/>
        <v>-250</v>
      </c>
      <c r="T22" s="76">
        <f t="shared" si="8"/>
        <v>0</v>
      </c>
      <c r="U22" s="76">
        <f t="shared" si="9"/>
        <v>-250</v>
      </c>
      <c r="V22" s="76">
        <f t="shared" si="10"/>
        <v>0</v>
      </c>
      <c r="W22" s="76">
        <f t="shared" si="11"/>
        <v>-250</v>
      </c>
      <c r="X22" s="77" t="str">
        <f t="shared" si="12"/>
        <v/>
      </c>
    </row>
    <row r="23">
      <c r="A23" s="84" t="s">
        <v>136</v>
      </c>
      <c r="B23" s="85" t="s">
        <v>21</v>
      </c>
      <c r="C23" s="73">
        <v>83.0</v>
      </c>
      <c r="D23" s="73">
        <v>22.0</v>
      </c>
      <c r="E23" s="73">
        <v>1.0</v>
      </c>
      <c r="F23" s="73">
        <v>6.0</v>
      </c>
      <c r="G23" s="73">
        <v>0.0</v>
      </c>
      <c r="H23" s="73">
        <v>16.0</v>
      </c>
      <c r="I23" s="73">
        <v>2.0</v>
      </c>
      <c r="J23" s="73">
        <v>2.0</v>
      </c>
      <c r="K23" s="73">
        <v>0.0</v>
      </c>
      <c r="L23" s="74">
        <f t="shared" si="1"/>
        <v>0.265060241</v>
      </c>
      <c r="M23" s="75">
        <f t="shared" si="2"/>
        <v>0.1927710843</v>
      </c>
      <c r="N23" s="75">
        <f t="shared" si="3"/>
        <v>0.02409638554</v>
      </c>
      <c r="O23" s="75">
        <f t="shared" si="4"/>
        <v>0.125</v>
      </c>
      <c r="P23" s="76">
        <v>500.0</v>
      </c>
      <c r="Q23" s="76">
        <f t="shared" si="5"/>
        <v>2075</v>
      </c>
      <c r="R23" s="76">
        <f t="shared" si="6"/>
        <v>750</v>
      </c>
      <c r="S23" s="76">
        <f t="shared" si="7"/>
        <v>-575</v>
      </c>
      <c r="T23" s="76">
        <f t="shared" si="8"/>
        <v>1500</v>
      </c>
      <c r="U23" s="76">
        <f t="shared" si="9"/>
        <v>925</v>
      </c>
      <c r="V23" s="76">
        <f t="shared" si="10"/>
        <v>3000</v>
      </c>
      <c r="W23" s="76">
        <f t="shared" si="11"/>
        <v>3925</v>
      </c>
      <c r="X23" s="77">
        <f t="shared" si="12"/>
        <v>4.15</v>
      </c>
    </row>
    <row r="24">
      <c r="A24" s="84" t="s">
        <v>136</v>
      </c>
      <c r="B24" s="85" t="s">
        <v>22</v>
      </c>
      <c r="C24" s="73">
        <v>81.0</v>
      </c>
      <c r="D24" s="73">
        <v>17.0</v>
      </c>
      <c r="E24" s="73">
        <v>1.0</v>
      </c>
      <c r="F24" s="73">
        <v>6.0</v>
      </c>
      <c r="G24" s="73">
        <v>0.0</v>
      </c>
      <c r="H24" s="73">
        <v>11.0</v>
      </c>
      <c r="I24" s="73">
        <v>3.0</v>
      </c>
      <c r="J24" s="73">
        <v>3.0</v>
      </c>
      <c r="K24" s="73">
        <v>0.0</v>
      </c>
      <c r="L24" s="74">
        <f t="shared" si="1"/>
        <v>0.2098765432</v>
      </c>
      <c r="M24" s="75">
        <f t="shared" si="2"/>
        <v>0.1358024691</v>
      </c>
      <c r="N24" s="75">
        <f t="shared" si="3"/>
        <v>0.03703703704</v>
      </c>
      <c r="O24" s="75">
        <f t="shared" si="4"/>
        <v>0.2727272727</v>
      </c>
      <c r="P24" s="76">
        <v>1899.0</v>
      </c>
      <c r="Q24" s="76">
        <f t="shared" si="5"/>
        <v>2025</v>
      </c>
      <c r="R24" s="76">
        <f t="shared" si="6"/>
        <v>2848.5</v>
      </c>
      <c r="S24" s="76">
        <f t="shared" si="7"/>
        <v>3672</v>
      </c>
      <c r="T24" s="76">
        <f t="shared" si="8"/>
        <v>5697</v>
      </c>
      <c r="U24" s="76">
        <f t="shared" si="9"/>
        <v>9369</v>
      </c>
      <c r="V24" s="76">
        <f t="shared" si="10"/>
        <v>11394</v>
      </c>
      <c r="W24" s="76">
        <f t="shared" si="11"/>
        <v>20763</v>
      </c>
      <c r="X24" s="77">
        <f t="shared" si="12"/>
        <v>1.066350711</v>
      </c>
    </row>
    <row r="25">
      <c r="A25" s="84" t="s">
        <v>136</v>
      </c>
      <c r="B25" s="85" t="s">
        <v>31</v>
      </c>
      <c r="C25" s="73">
        <v>76.0</v>
      </c>
      <c r="D25" s="73">
        <v>24.0</v>
      </c>
      <c r="E25" s="73">
        <v>1.0</v>
      </c>
      <c r="F25" s="73">
        <v>8.0</v>
      </c>
      <c r="G25" s="73">
        <v>1.0</v>
      </c>
      <c r="H25" s="73">
        <v>16.0</v>
      </c>
      <c r="I25" s="73">
        <v>8.0</v>
      </c>
      <c r="J25" s="73">
        <v>7.0</v>
      </c>
      <c r="K25" s="73">
        <v>1.0</v>
      </c>
      <c r="L25" s="74">
        <f t="shared" si="1"/>
        <v>0.3157894737</v>
      </c>
      <c r="M25" s="75">
        <f t="shared" si="2"/>
        <v>0.2105263158</v>
      </c>
      <c r="N25" s="75">
        <f t="shared" si="3"/>
        <v>0.09210526316</v>
      </c>
      <c r="O25" s="75">
        <f t="shared" si="4"/>
        <v>0.4375</v>
      </c>
      <c r="P25" s="76">
        <v>2093.0</v>
      </c>
      <c r="Q25" s="76">
        <f t="shared" si="5"/>
        <v>1900</v>
      </c>
      <c r="R25" s="76">
        <f t="shared" si="6"/>
        <v>3139.5</v>
      </c>
      <c r="S25" s="76">
        <f t="shared" si="7"/>
        <v>4379</v>
      </c>
      <c r="T25" s="76">
        <f t="shared" si="8"/>
        <v>6279</v>
      </c>
      <c r="U25" s="76">
        <f t="shared" si="9"/>
        <v>10658</v>
      </c>
      <c r="V25" s="76">
        <f t="shared" si="10"/>
        <v>12558</v>
      </c>
      <c r="W25" s="76">
        <f t="shared" si="11"/>
        <v>23216</v>
      </c>
      <c r="X25" s="77">
        <f t="shared" si="12"/>
        <v>0.9077878643</v>
      </c>
    </row>
    <row r="26">
      <c r="A26" s="84" t="s">
        <v>136</v>
      </c>
      <c r="B26" s="85" t="s">
        <v>23</v>
      </c>
      <c r="C26" s="73">
        <v>28.0</v>
      </c>
      <c r="D26" s="73">
        <v>9.0</v>
      </c>
      <c r="E26" s="73">
        <v>1.0</v>
      </c>
      <c r="F26" s="73">
        <v>0.0</v>
      </c>
      <c r="G26" s="73">
        <v>2.0</v>
      </c>
      <c r="H26" s="73">
        <v>9.0</v>
      </c>
      <c r="I26" s="73">
        <v>0.0</v>
      </c>
      <c r="J26" s="73">
        <v>0.0</v>
      </c>
      <c r="K26" s="73">
        <v>0.0</v>
      </c>
      <c r="L26" s="74">
        <f t="shared" si="1"/>
        <v>0.3214285714</v>
      </c>
      <c r="M26" s="75">
        <f t="shared" si="2"/>
        <v>0.3214285714</v>
      </c>
      <c r="N26" s="75">
        <f t="shared" si="3"/>
        <v>0</v>
      </c>
      <c r="O26" s="75">
        <f t="shared" si="4"/>
        <v>0</v>
      </c>
      <c r="P26" s="76">
        <v>0.0</v>
      </c>
      <c r="Q26" s="76">
        <f t="shared" si="5"/>
        <v>700</v>
      </c>
      <c r="R26" s="76">
        <f t="shared" si="6"/>
        <v>0</v>
      </c>
      <c r="S26" s="76">
        <f t="shared" si="7"/>
        <v>-700</v>
      </c>
      <c r="T26" s="76">
        <f t="shared" si="8"/>
        <v>0</v>
      </c>
      <c r="U26" s="76">
        <f t="shared" si="9"/>
        <v>-700</v>
      </c>
      <c r="V26" s="76">
        <f t="shared" si="10"/>
        <v>0</v>
      </c>
      <c r="W26" s="76">
        <f t="shared" si="11"/>
        <v>-700</v>
      </c>
      <c r="X26" s="77" t="str">
        <f t="shared" si="12"/>
        <v/>
      </c>
    </row>
    <row r="27">
      <c r="A27" s="84" t="s">
        <v>136</v>
      </c>
      <c r="B27" s="85" t="s">
        <v>24</v>
      </c>
      <c r="C27" s="73">
        <v>4.0</v>
      </c>
      <c r="D27" s="73">
        <v>0.0</v>
      </c>
      <c r="E27" s="73">
        <v>0.0</v>
      </c>
      <c r="F27" s="73">
        <v>0.0</v>
      </c>
      <c r="G27" s="73">
        <v>0.0</v>
      </c>
      <c r="H27" s="73">
        <v>0.0</v>
      </c>
      <c r="I27" s="73">
        <v>1.0</v>
      </c>
      <c r="J27" s="73">
        <v>1.0</v>
      </c>
      <c r="K27" s="73">
        <v>0.0</v>
      </c>
      <c r="L27" s="74">
        <f t="shared" si="1"/>
        <v>0</v>
      </c>
      <c r="M27" s="75">
        <f t="shared" si="2"/>
        <v>0</v>
      </c>
      <c r="N27" s="75">
        <f t="shared" si="3"/>
        <v>0.25</v>
      </c>
      <c r="O27" s="75" t="str">
        <f t="shared" si="4"/>
        <v>#DIV/0!</v>
      </c>
      <c r="P27" s="76">
        <v>350.0</v>
      </c>
      <c r="Q27" s="76">
        <f t="shared" si="5"/>
        <v>100</v>
      </c>
      <c r="R27" s="76">
        <f t="shared" si="6"/>
        <v>525</v>
      </c>
      <c r="S27" s="76">
        <f t="shared" si="7"/>
        <v>950</v>
      </c>
      <c r="T27" s="76">
        <f t="shared" si="8"/>
        <v>1050</v>
      </c>
      <c r="U27" s="76">
        <f t="shared" si="9"/>
        <v>2000</v>
      </c>
      <c r="V27" s="76">
        <f t="shared" si="10"/>
        <v>2100</v>
      </c>
      <c r="W27" s="76">
        <f t="shared" si="11"/>
        <v>4100</v>
      </c>
      <c r="X27" s="77">
        <f t="shared" si="12"/>
        <v>0.2857142857</v>
      </c>
    </row>
    <row r="28">
      <c r="A28" s="84" t="s">
        <v>136</v>
      </c>
      <c r="B28" s="85" t="s">
        <v>25</v>
      </c>
      <c r="C28" s="73">
        <v>66.0</v>
      </c>
      <c r="D28" s="73">
        <v>13.0</v>
      </c>
      <c r="E28" s="73">
        <v>1.0</v>
      </c>
      <c r="F28" s="73">
        <v>2.0</v>
      </c>
      <c r="G28" s="73">
        <v>0.0</v>
      </c>
      <c r="H28" s="73">
        <v>11.0</v>
      </c>
      <c r="I28" s="73">
        <v>2.0</v>
      </c>
      <c r="J28" s="73">
        <v>1.0</v>
      </c>
      <c r="K28" s="73">
        <v>1.0</v>
      </c>
      <c r="L28" s="74">
        <f t="shared" si="1"/>
        <v>0.196969697</v>
      </c>
      <c r="M28" s="75">
        <f t="shared" si="2"/>
        <v>0.1666666667</v>
      </c>
      <c r="N28" s="75">
        <f t="shared" si="3"/>
        <v>0.01515151515</v>
      </c>
      <c r="O28" s="75">
        <f t="shared" si="4"/>
        <v>0.09090909091</v>
      </c>
      <c r="P28" s="76">
        <v>290.0</v>
      </c>
      <c r="Q28" s="76">
        <f t="shared" si="5"/>
        <v>1650</v>
      </c>
      <c r="R28" s="76">
        <f t="shared" si="6"/>
        <v>435</v>
      </c>
      <c r="S28" s="76">
        <f t="shared" si="7"/>
        <v>-780</v>
      </c>
      <c r="T28" s="76">
        <f t="shared" si="8"/>
        <v>870</v>
      </c>
      <c r="U28" s="76">
        <f t="shared" si="9"/>
        <v>90</v>
      </c>
      <c r="V28" s="76">
        <f t="shared" si="10"/>
        <v>1740</v>
      </c>
      <c r="W28" s="76">
        <f t="shared" si="11"/>
        <v>1830</v>
      </c>
      <c r="X28" s="77">
        <f t="shared" si="12"/>
        <v>5.689655172</v>
      </c>
    </row>
    <row r="29">
      <c r="A29" s="84" t="s">
        <v>136</v>
      </c>
      <c r="B29" s="85" t="s">
        <v>26</v>
      </c>
      <c r="C29" s="73">
        <v>34.0</v>
      </c>
      <c r="D29" s="73">
        <v>14.0</v>
      </c>
      <c r="E29" s="73">
        <v>2.0</v>
      </c>
      <c r="F29" s="73">
        <v>4.0</v>
      </c>
      <c r="G29" s="73">
        <v>0.0</v>
      </c>
      <c r="H29" s="73">
        <v>10.0</v>
      </c>
      <c r="I29" s="73">
        <v>1.0</v>
      </c>
      <c r="J29" s="73">
        <v>1.0</v>
      </c>
      <c r="K29" s="73">
        <v>0.0</v>
      </c>
      <c r="L29" s="74">
        <f t="shared" si="1"/>
        <v>0.4117647059</v>
      </c>
      <c r="M29" s="75">
        <f t="shared" si="2"/>
        <v>0.2941176471</v>
      </c>
      <c r="N29" s="75">
        <f t="shared" si="3"/>
        <v>0.02941176471</v>
      </c>
      <c r="O29" s="75">
        <f t="shared" si="4"/>
        <v>0.1</v>
      </c>
      <c r="P29" s="76">
        <v>197.0</v>
      </c>
      <c r="Q29" s="76">
        <f t="shared" si="5"/>
        <v>850</v>
      </c>
      <c r="R29" s="76">
        <f t="shared" si="6"/>
        <v>295.5</v>
      </c>
      <c r="S29" s="76">
        <f t="shared" si="7"/>
        <v>-259</v>
      </c>
      <c r="T29" s="76">
        <f t="shared" si="8"/>
        <v>591</v>
      </c>
      <c r="U29" s="76">
        <f t="shared" si="9"/>
        <v>332</v>
      </c>
      <c r="V29" s="76">
        <f t="shared" si="10"/>
        <v>1182</v>
      </c>
      <c r="W29" s="76">
        <f t="shared" si="11"/>
        <v>1514</v>
      </c>
      <c r="X29" s="77">
        <f t="shared" si="12"/>
        <v>4.314720812</v>
      </c>
    </row>
    <row r="30">
      <c r="A30" s="84" t="s">
        <v>136</v>
      </c>
      <c r="B30" s="85" t="s">
        <v>27</v>
      </c>
      <c r="C30" s="73">
        <v>123.0</v>
      </c>
      <c r="D30" s="73">
        <v>31.0</v>
      </c>
      <c r="E30" s="73">
        <v>4.0</v>
      </c>
      <c r="F30" s="73">
        <v>0.0</v>
      </c>
      <c r="G30" s="73">
        <v>27.0</v>
      </c>
      <c r="H30" s="73">
        <v>31.0</v>
      </c>
      <c r="I30" s="73">
        <v>2.0</v>
      </c>
      <c r="J30" s="73">
        <v>2.0</v>
      </c>
      <c r="K30" s="73">
        <v>0.0</v>
      </c>
      <c r="L30" s="74">
        <f t="shared" si="1"/>
        <v>0.2520325203</v>
      </c>
      <c r="M30" s="75">
        <f t="shared" si="2"/>
        <v>0.2520325203</v>
      </c>
      <c r="N30" s="75">
        <f t="shared" si="3"/>
        <v>0.0162601626</v>
      </c>
      <c r="O30" s="75">
        <f t="shared" si="4"/>
        <v>0.06451612903</v>
      </c>
      <c r="P30" s="76">
        <v>600.0</v>
      </c>
      <c r="Q30" s="76">
        <f t="shared" si="5"/>
        <v>3075</v>
      </c>
      <c r="R30" s="76">
        <f t="shared" si="6"/>
        <v>900</v>
      </c>
      <c r="S30" s="76">
        <f t="shared" si="7"/>
        <v>-1275</v>
      </c>
      <c r="T30" s="76">
        <f t="shared" si="8"/>
        <v>1800</v>
      </c>
      <c r="U30" s="76">
        <f t="shared" si="9"/>
        <v>525</v>
      </c>
      <c r="V30" s="76">
        <f t="shared" si="10"/>
        <v>3600</v>
      </c>
      <c r="W30" s="76">
        <f t="shared" si="11"/>
        <v>4125</v>
      </c>
      <c r="X30" s="77">
        <f t="shared" si="12"/>
        <v>5.125</v>
      </c>
    </row>
    <row r="31" ht="22.5" customHeight="1">
      <c r="A31" s="86"/>
      <c r="B31" s="87" t="s">
        <v>103</v>
      </c>
      <c r="C31" s="88">
        <f t="shared" ref="C31:K31" si="14">SUM(C18:C30)</f>
        <v>845</v>
      </c>
      <c r="D31" s="88">
        <f t="shared" si="14"/>
        <v>184</v>
      </c>
      <c r="E31" s="88">
        <f t="shared" si="14"/>
        <v>17</v>
      </c>
      <c r="F31" s="88">
        <f t="shared" si="14"/>
        <v>42</v>
      </c>
      <c r="G31" s="88">
        <f t="shared" si="14"/>
        <v>39</v>
      </c>
      <c r="H31" s="88">
        <f t="shared" si="14"/>
        <v>142</v>
      </c>
      <c r="I31" s="88">
        <f t="shared" si="14"/>
        <v>30</v>
      </c>
      <c r="J31" s="88">
        <f t="shared" si="14"/>
        <v>25</v>
      </c>
      <c r="K31" s="88">
        <f t="shared" si="14"/>
        <v>5</v>
      </c>
      <c r="L31" s="89">
        <f t="shared" si="1"/>
        <v>0.2177514793</v>
      </c>
      <c r="M31" s="89">
        <f t="shared" si="2"/>
        <v>0.1680473373</v>
      </c>
      <c r="N31" s="89">
        <f t="shared" si="3"/>
        <v>0.02958579882</v>
      </c>
      <c r="O31" s="89">
        <f t="shared" si="4"/>
        <v>0.176056338</v>
      </c>
      <c r="P31" s="90">
        <f>SUM(P18:P30)</f>
        <v>8502</v>
      </c>
      <c r="Q31" s="90">
        <f t="shared" si="5"/>
        <v>21125</v>
      </c>
      <c r="R31" s="90">
        <f t="shared" si="6"/>
        <v>12753</v>
      </c>
      <c r="S31" s="90">
        <f t="shared" si="7"/>
        <v>4381</v>
      </c>
      <c r="T31" s="90">
        <f t="shared" si="8"/>
        <v>25506</v>
      </c>
      <c r="U31" s="90">
        <f t="shared" si="9"/>
        <v>29887</v>
      </c>
      <c r="V31" s="90">
        <f t="shared" si="10"/>
        <v>51012</v>
      </c>
      <c r="W31" s="90">
        <f t="shared" si="11"/>
        <v>80899</v>
      </c>
      <c r="X31" s="91">
        <f t="shared" si="12"/>
        <v>2.48470948</v>
      </c>
    </row>
    <row r="32">
      <c r="A32" s="84" t="s">
        <v>137</v>
      </c>
      <c r="B32" s="85" t="s">
        <v>17</v>
      </c>
      <c r="C32" s="73">
        <v>14.0</v>
      </c>
      <c r="D32" s="73">
        <v>1.0</v>
      </c>
      <c r="E32" s="73">
        <v>0.0</v>
      </c>
      <c r="F32" s="73">
        <v>0.0</v>
      </c>
      <c r="G32" s="73">
        <v>0.0</v>
      </c>
      <c r="H32" s="73">
        <v>1.0</v>
      </c>
      <c r="I32" s="73">
        <v>0.0</v>
      </c>
      <c r="J32" s="73">
        <v>0.0</v>
      </c>
      <c r="K32" s="73">
        <v>0.0</v>
      </c>
      <c r="L32" s="74">
        <f t="shared" si="1"/>
        <v>0.07142857143</v>
      </c>
      <c r="M32" s="75">
        <f t="shared" si="2"/>
        <v>0.07142857143</v>
      </c>
      <c r="N32" s="75">
        <f t="shared" si="3"/>
        <v>0</v>
      </c>
      <c r="O32" s="75">
        <f t="shared" si="4"/>
        <v>0</v>
      </c>
      <c r="P32" s="76">
        <v>0.0</v>
      </c>
      <c r="Q32" s="76">
        <f t="shared" si="5"/>
        <v>350</v>
      </c>
      <c r="R32" s="76">
        <f t="shared" si="6"/>
        <v>0</v>
      </c>
      <c r="S32" s="76">
        <f t="shared" si="7"/>
        <v>-350</v>
      </c>
      <c r="T32" s="76">
        <f t="shared" si="8"/>
        <v>0</v>
      </c>
      <c r="U32" s="76">
        <f t="shared" si="9"/>
        <v>-350</v>
      </c>
      <c r="V32" s="76">
        <f t="shared" si="10"/>
        <v>0</v>
      </c>
      <c r="W32" s="76">
        <f t="shared" si="11"/>
        <v>-350</v>
      </c>
      <c r="X32" s="77" t="str">
        <f t="shared" si="12"/>
        <v/>
      </c>
    </row>
    <row r="33">
      <c r="A33" s="84" t="s">
        <v>137</v>
      </c>
      <c r="B33" s="85" t="s">
        <v>18</v>
      </c>
      <c r="C33" s="73">
        <v>30.0</v>
      </c>
      <c r="D33" s="73">
        <v>8.0</v>
      </c>
      <c r="E33" s="73">
        <v>1.0</v>
      </c>
      <c r="F33" s="73">
        <v>3.0</v>
      </c>
      <c r="G33" s="73">
        <v>0.0</v>
      </c>
      <c r="H33" s="73">
        <v>5.0</v>
      </c>
      <c r="I33" s="73">
        <v>3.0</v>
      </c>
      <c r="J33" s="73">
        <v>3.0</v>
      </c>
      <c r="K33" s="73">
        <v>0.0</v>
      </c>
      <c r="L33" s="74">
        <f t="shared" si="1"/>
        <v>0.2666666667</v>
      </c>
      <c r="M33" s="74">
        <f t="shared" si="2"/>
        <v>0.1666666667</v>
      </c>
      <c r="N33" s="74">
        <f t="shared" si="3"/>
        <v>0.1</v>
      </c>
      <c r="O33" s="74">
        <f t="shared" si="4"/>
        <v>0.6</v>
      </c>
      <c r="P33" s="76">
        <v>591.0</v>
      </c>
      <c r="Q33" s="76">
        <f t="shared" si="5"/>
        <v>750</v>
      </c>
      <c r="R33" s="76">
        <f t="shared" si="6"/>
        <v>886.5</v>
      </c>
      <c r="S33" s="76">
        <f t="shared" si="7"/>
        <v>1023</v>
      </c>
      <c r="T33" s="76">
        <f t="shared" si="8"/>
        <v>1773</v>
      </c>
      <c r="U33" s="76">
        <f t="shared" si="9"/>
        <v>2796</v>
      </c>
      <c r="V33" s="76">
        <f t="shared" si="10"/>
        <v>3546</v>
      </c>
      <c r="W33" s="76">
        <f t="shared" si="11"/>
        <v>6342</v>
      </c>
      <c r="X33" s="77">
        <f t="shared" si="12"/>
        <v>1.269035533</v>
      </c>
    </row>
    <row r="34">
      <c r="A34" s="84" t="s">
        <v>137</v>
      </c>
      <c r="B34" s="85" t="s">
        <v>19</v>
      </c>
      <c r="C34" s="73">
        <v>28.0</v>
      </c>
      <c r="D34" s="73">
        <v>2.0</v>
      </c>
      <c r="E34" s="73">
        <v>0.0</v>
      </c>
      <c r="F34" s="73">
        <v>1.0</v>
      </c>
      <c r="G34" s="73">
        <v>0.0</v>
      </c>
      <c r="H34" s="73">
        <v>1.0</v>
      </c>
      <c r="I34" s="73">
        <v>0.0</v>
      </c>
      <c r="J34" s="73">
        <v>0.0</v>
      </c>
      <c r="K34" s="73">
        <v>0.0</v>
      </c>
      <c r="L34" s="74">
        <f t="shared" si="1"/>
        <v>0.07142857143</v>
      </c>
      <c r="M34" s="74">
        <f t="shared" si="2"/>
        <v>0.03571428571</v>
      </c>
      <c r="N34" s="74">
        <f t="shared" si="3"/>
        <v>0</v>
      </c>
      <c r="O34" s="74">
        <f t="shared" si="4"/>
        <v>0</v>
      </c>
      <c r="P34" s="76">
        <v>0.0</v>
      </c>
      <c r="Q34" s="76">
        <f t="shared" si="5"/>
        <v>700</v>
      </c>
      <c r="R34" s="76">
        <f t="shared" si="6"/>
        <v>0</v>
      </c>
      <c r="S34" s="76">
        <f t="shared" si="7"/>
        <v>-700</v>
      </c>
      <c r="T34" s="76">
        <f t="shared" si="8"/>
        <v>0</v>
      </c>
      <c r="U34" s="76">
        <f t="shared" si="9"/>
        <v>-700</v>
      </c>
      <c r="V34" s="76">
        <f t="shared" si="10"/>
        <v>0</v>
      </c>
      <c r="W34" s="76">
        <f t="shared" si="11"/>
        <v>-700</v>
      </c>
      <c r="X34" s="77" t="str">
        <f t="shared" si="12"/>
        <v/>
      </c>
    </row>
    <row r="35" ht="20.25" customHeight="1">
      <c r="A35" s="84" t="s">
        <v>137</v>
      </c>
      <c r="B35" s="85" t="s">
        <v>20</v>
      </c>
      <c r="C35" s="73">
        <v>34.0</v>
      </c>
      <c r="D35" s="73">
        <v>0.0</v>
      </c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4">
        <f t="shared" si="1"/>
        <v>0</v>
      </c>
      <c r="M35" s="74">
        <f t="shared" si="2"/>
        <v>0</v>
      </c>
      <c r="N35" s="74">
        <f t="shared" si="3"/>
        <v>0</v>
      </c>
      <c r="O35" s="74" t="str">
        <f t="shared" si="4"/>
        <v>#DIV/0!</v>
      </c>
      <c r="P35" s="76">
        <v>0.0</v>
      </c>
      <c r="Q35" s="76">
        <f t="shared" si="5"/>
        <v>850</v>
      </c>
      <c r="R35" s="76">
        <f t="shared" si="6"/>
        <v>0</v>
      </c>
      <c r="S35" s="76">
        <f t="shared" si="7"/>
        <v>-850</v>
      </c>
      <c r="T35" s="76">
        <f t="shared" si="8"/>
        <v>0</v>
      </c>
      <c r="U35" s="76">
        <f t="shared" si="9"/>
        <v>-850</v>
      </c>
      <c r="V35" s="76">
        <f t="shared" si="10"/>
        <v>0</v>
      </c>
      <c r="W35" s="76">
        <f t="shared" si="11"/>
        <v>-850</v>
      </c>
      <c r="X35" s="77" t="str">
        <f t="shared" si="12"/>
        <v/>
      </c>
    </row>
    <row r="36">
      <c r="A36" s="84" t="s">
        <v>137</v>
      </c>
      <c r="B36" s="85" t="s">
        <v>30</v>
      </c>
      <c r="C36" s="73">
        <v>6.0</v>
      </c>
      <c r="D36" s="73">
        <v>2.0</v>
      </c>
      <c r="E36" s="73">
        <v>0.0</v>
      </c>
      <c r="F36" s="73">
        <v>0.0</v>
      </c>
      <c r="G36" s="73">
        <v>0.0</v>
      </c>
      <c r="H36" s="73">
        <v>2.0</v>
      </c>
      <c r="I36" s="73">
        <v>0.0</v>
      </c>
      <c r="J36" s="73">
        <v>0.0</v>
      </c>
      <c r="K36" s="73">
        <v>0.0</v>
      </c>
      <c r="L36" s="74">
        <f t="shared" si="1"/>
        <v>0.3333333333</v>
      </c>
      <c r="M36" s="74">
        <f t="shared" si="2"/>
        <v>0.3333333333</v>
      </c>
      <c r="N36" s="74">
        <f t="shared" si="3"/>
        <v>0</v>
      </c>
      <c r="O36" s="74">
        <f t="shared" si="4"/>
        <v>0</v>
      </c>
      <c r="P36" s="76">
        <v>0.0</v>
      </c>
      <c r="Q36" s="76">
        <f t="shared" si="5"/>
        <v>150</v>
      </c>
      <c r="R36" s="76">
        <f t="shared" si="6"/>
        <v>0</v>
      </c>
      <c r="S36" s="76">
        <f t="shared" si="7"/>
        <v>-150</v>
      </c>
      <c r="T36" s="76">
        <f t="shared" si="8"/>
        <v>0</v>
      </c>
      <c r="U36" s="76">
        <f t="shared" si="9"/>
        <v>-150</v>
      </c>
      <c r="V36" s="76">
        <f t="shared" si="10"/>
        <v>0</v>
      </c>
      <c r="W36" s="76">
        <f t="shared" si="11"/>
        <v>-150</v>
      </c>
      <c r="X36" s="77" t="str">
        <f t="shared" si="12"/>
        <v/>
      </c>
    </row>
    <row r="37">
      <c r="A37" s="84" t="s">
        <v>137</v>
      </c>
      <c r="B37" s="85" t="s">
        <v>21</v>
      </c>
      <c r="C37" s="73">
        <v>24.0</v>
      </c>
      <c r="D37" s="73">
        <v>1.0</v>
      </c>
      <c r="E37" s="73">
        <v>0.0</v>
      </c>
      <c r="F37" s="73">
        <v>1.0</v>
      </c>
      <c r="G37" s="73">
        <v>0.0</v>
      </c>
      <c r="H37" s="73">
        <v>0.0</v>
      </c>
      <c r="I37" s="73">
        <v>0.0</v>
      </c>
      <c r="J37" s="73">
        <v>0.0</v>
      </c>
      <c r="K37" s="73">
        <v>0.0</v>
      </c>
      <c r="L37" s="74">
        <f t="shared" si="1"/>
        <v>0.04166666667</v>
      </c>
      <c r="M37" s="74">
        <f t="shared" si="2"/>
        <v>0</v>
      </c>
      <c r="N37" s="74">
        <f t="shared" si="3"/>
        <v>0</v>
      </c>
      <c r="O37" s="74" t="str">
        <f t="shared" si="4"/>
        <v>#DIV/0!</v>
      </c>
      <c r="P37" s="76">
        <v>0.0</v>
      </c>
      <c r="Q37" s="76">
        <f t="shared" si="5"/>
        <v>600</v>
      </c>
      <c r="R37" s="76">
        <f t="shared" si="6"/>
        <v>0</v>
      </c>
      <c r="S37" s="76">
        <f t="shared" si="7"/>
        <v>-600</v>
      </c>
      <c r="T37" s="76">
        <f t="shared" si="8"/>
        <v>0</v>
      </c>
      <c r="U37" s="76">
        <f t="shared" si="9"/>
        <v>-600</v>
      </c>
      <c r="V37" s="76">
        <f t="shared" si="10"/>
        <v>0</v>
      </c>
      <c r="W37" s="76">
        <f t="shared" si="11"/>
        <v>-600</v>
      </c>
      <c r="X37" s="77" t="str">
        <f t="shared" si="12"/>
        <v/>
      </c>
    </row>
    <row r="38">
      <c r="A38" s="84" t="s">
        <v>137</v>
      </c>
      <c r="B38" s="85" t="s">
        <v>22</v>
      </c>
      <c r="C38" s="73">
        <v>41.0</v>
      </c>
      <c r="D38" s="73">
        <v>12.0</v>
      </c>
      <c r="E38" s="73">
        <v>1.0</v>
      </c>
      <c r="F38" s="73">
        <v>5.0</v>
      </c>
      <c r="G38" s="73">
        <v>0.0</v>
      </c>
      <c r="H38" s="73">
        <v>7.0</v>
      </c>
      <c r="I38" s="73">
        <v>2.0</v>
      </c>
      <c r="J38" s="73">
        <v>2.0</v>
      </c>
      <c r="K38" s="73">
        <v>0.0</v>
      </c>
      <c r="L38" s="74">
        <f t="shared" si="1"/>
        <v>0.2926829268</v>
      </c>
      <c r="M38" s="74">
        <f t="shared" si="2"/>
        <v>0.1707317073</v>
      </c>
      <c r="N38" s="74">
        <f t="shared" si="3"/>
        <v>0.0487804878</v>
      </c>
      <c r="O38" s="74">
        <f t="shared" si="4"/>
        <v>0.2857142857</v>
      </c>
      <c r="P38" s="76">
        <v>699.0</v>
      </c>
      <c r="Q38" s="76">
        <f t="shared" si="5"/>
        <v>1025</v>
      </c>
      <c r="R38" s="76">
        <f t="shared" si="6"/>
        <v>1048.5</v>
      </c>
      <c r="S38" s="76">
        <f t="shared" si="7"/>
        <v>1072</v>
      </c>
      <c r="T38" s="76">
        <f t="shared" si="8"/>
        <v>2097</v>
      </c>
      <c r="U38" s="76">
        <f t="shared" si="9"/>
        <v>3169</v>
      </c>
      <c r="V38" s="76">
        <f t="shared" si="10"/>
        <v>4194</v>
      </c>
      <c r="W38" s="76">
        <f t="shared" si="11"/>
        <v>7363</v>
      </c>
      <c r="X38" s="77">
        <f t="shared" si="12"/>
        <v>1.466380544</v>
      </c>
    </row>
    <row r="39">
      <c r="A39" s="84" t="s">
        <v>137</v>
      </c>
      <c r="B39" s="85" t="s">
        <v>31</v>
      </c>
      <c r="C39" s="73">
        <v>16.0</v>
      </c>
      <c r="D39" s="73">
        <v>8.0</v>
      </c>
      <c r="E39" s="73">
        <v>1.0</v>
      </c>
      <c r="F39" s="73">
        <v>2.0</v>
      </c>
      <c r="G39" s="73">
        <v>0.0</v>
      </c>
      <c r="H39" s="73">
        <v>6.0</v>
      </c>
      <c r="I39" s="73">
        <v>3.0</v>
      </c>
      <c r="J39" s="73">
        <v>2.0</v>
      </c>
      <c r="K39" s="73">
        <v>1.0</v>
      </c>
      <c r="L39" s="74">
        <f t="shared" si="1"/>
        <v>0.5</v>
      </c>
      <c r="M39" s="74">
        <f t="shared" si="2"/>
        <v>0.375</v>
      </c>
      <c r="N39" s="74">
        <f t="shared" si="3"/>
        <v>0.125</v>
      </c>
      <c r="O39" s="74">
        <f t="shared" si="4"/>
        <v>0.3333333333</v>
      </c>
      <c r="P39" s="76">
        <v>298.0</v>
      </c>
      <c r="Q39" s="76">
        <f t="shared" si="5"/>
        <v>400</v>
      </c>
      <c r="R39" s="76">
        <f t="shared" si="6"/>
        <v>447</v>
      </c>
      <c r="S39" s="76">
        <f t="shared" si="7"/>
        <v>494</v>
      </c>
      <c r="T39" s="76">
        <f t="shared" si="8"/>
        <v>894</v>
      </c>
      <c r="U39" s="76">
        <f t="shared" si="9"/>
        <v>1388</v>
      </c>
      <c r="V39" s="76">
        <f t="shared" si="10"/>
        <v>1788</v>
      </c>
      <c r="W39" s="76">
        <f t="shared" si="11"/>
        <v>3176</v>
      </c>
      <c r="X39" s="77">
        <f t="shared" si="12"/>
        <v>1.342281879</v>
      </c>
    </row>
    <row r="40">
      <c r="A40" s="84" t="s">
        <v>137</v>
      </c>
      <c r="B40" s="85" t="s">
        <v>23</v>
      </c>
      <c r="C40" s="73">
        <v>2.0</v>
      </c>
      <c r="D40" s="73">
        <v>2.0</v>
      </c>
      <c r="E40" s="73">
        <v>0.0</v>
      </c>
      <c r="F40" s="73">
        <v>0.0</v>
      </c>
      <c r="G40" s="73">
        <v>2.0</v>
      </c>
      <c r="H40" s="73">
        <v>2.0</v>
      </c>
      <c r="I40" s="73">
        <v>1.0</v>
      </c>
      <c r="J40" s="73">
        <v>1.0</v>
      </c>
      <c r="K40" s="73">
        <v>0.0</v>
      </c>
      <c r="L40" s="74">
        <f t="shared" si="1"/>
        <v>1</v>
      </c>
      <c r="M40" s="74">
        <f t="shared" si="2"/>
        <v>1</v>
      </c>
      <c r="N40" s="74">
        <f t="shared" si="3"/>
        <v>0.5</v>
      </c>
      <c r="O40" s="74">
        <f t="shared" si="4"/>
        <v>0.5</v>
      </c>
      <c r="P40" s="76">
        <v>225.0</v>
      </c>
      <c r="Q40" s="76">
        <f t="shared" si="5"/>
        <v>50</v>
      </c>
      <c r="R40" s="76">
        <f t="shared" si="6"/>
        <v>337.5</v>
      </c>
      <c r="S40" s="76">
        <f t="shared" si="7"/>
        <v>625</v>
      </c>
      <c r="T40" s="76">
        <f t="shared" si="8"/>
        <v>675</v>
      </c>
      <c r="U40" s="76">
        <f t="shared" si="9"/>
        <v>1300</v>
      </c>
      <c r="V40" s="76">
        <f t="shared" si="10"/>
        <v>1350</v>
      </c>
      <c r="W40" s="76">
        <f t="shared" si="11"/>
        <v>2650</v>
      </c>
      <c r="X40" s="77">
        <f t="shared" si="12"/>
        <v>0.2222222222</v>
      </c>
    </row>
    <row r="41">
      <c r="A41" s="84" t="s">
        <v>137</v>
      </c>
      <c r="B41" s="85" t="s">
        <v>24</v>
      </c>
      <c r="C41" s="73">
        <v>2.0</v>
      </c>
      <c r="D41" s="73">
        <v>0.0</v>
      </c>
      <c r="E41" s="73">
        <v>0.0</v>
      </c>
      <c r="F41" s="73">
        <v>0.0</v>
      </c>
      <c r="G41" s="73">
        <v>0.0</v>
      </c>
      <c r="H41" s="73">
        <v>0.0</v>
      </c>
      <c r="I41" s="73">
        <v>0.0</v>
      </c>
      <c r="J41" s="73">
        <v>0.0</v>
      </c>
      <c r="K41" s="73">
        <v>0.0</v>
      </c>
      <c r="L41" s="74">
        <f t="shared" si="1"/>
        <v>0</v>
      </c>
      <c r="M41" s="74">
        <f t="shared" si="2"/>
        <v>0</v>
      </c>
      <c r="N41" s="74">
        <f t="shared" si="3"/>
        <v>0</v>
      </c>
      <c r="O41" s="74" t="str">
        <f t="shared" si="4"/>
        <v>#DIV/0!</v>
      </c>
      <c r="P41" s="76">
        <v>0.0</v>
      </c>
      <c r="Q41" s="76">
        <f t="shared" si="5"/>
        <v>50</v>
      </c>
      <c r="R41" s="76">
        <f t="shared" si="6"/>
        <v>0</v>
      </c>
      <c r="S41" s="76">
        <f t="shared" si="7"/>
        <v>-50</v>
      </c>
      <c r="T41" s="76">
        <f t="shared" si="8"/>
        <v>0</v>
      </c>
      <c r="U41" s="76">
        <f t="shared" si="9"/>
        <v>-50</v>
      </c>
      <c r="V41" s="76">
        <f t="shared" si="10"/>
        <v>0</v>
      </c>
      <c r="W41" s="76">
        <f t="shared" si="11"/>
        <v>-50</v>
      </c>
      <c r="X41" s="77" t="str">
        <f t="shared" si="12"/>
        <v/>
      </c>
    </row>
    <row r="42">
      <c r="A42" s="84" t="s">
        <v>137</v>
      </c>
      <c r="B42" s="85" t="s">
        <v>25</v>
      </c>
      <c r="C42" s="73">
        <v>8.0</v>
      </c>
      <c r="D42" s="73">
        <v>4.0</v>
      </c>
      <c r="E42" s="73">
        <v>1.0</v>
      </c>
      <c r="F42" s="73">
        <v>2.0</v>
      </c>
      <c r="G42" s="73">
        <v>0.0</v>
      </c>
      <c r="H42" s="73">
        <v>2.0</v>
      </c>
      <c r="I42" s="73">
        <v>0.0</v>
      </c>
      <c r="J42" s="73">
        <v>0.0</v>
      </c>
      <c r="K42" s="73">
        <v>0.0</v>
      </c>
      <c r="L42" s="74">
        <f t="shared" si="1"/>
        <v>0.5</v>
      </c>
      <c r="M42" s="74">
        <f t="shared" si="2"/>
        <v>0.25</v>
      </c>
      <c r="N42" s="74">
        <f t="shared" si="3"/>
        <v>0</v>
      </c>
      <c r="O42" s="74">
        <f t="shared" si="4"/>
        <v>0</v>
      </c>
      <c r="P42" s="76">
        <v>0.0</v>
      </c>
      <c r="Q42" s="76">
        <f t="shared" si="5"/>
        <v>200</v>
      </c>
      <c r="R42" s="76">
        <f t="shared" si="6"/>
        <v>0</v>
      </c>
      <c r="S42" s="76">
        <f t="shared" si="7"/>
        <v>-200</v>
      </c>
      <c r="T42" s="76">
        <f t="shared" si="8"/>
        <v>0</v>
      </c>
      <c r="U42" s="76">
        <f t="shared" si="9"/>
        <v>-200</v>
      </c>
      <c r="V42" s="76">
        <f t="shared" si="10"/>
        <v>0</v>
      </c>
      <c r="W42" s="76">
        <f t="shared" si="11"/>
        <v>-200</v>
      </c>
      <c r="X42" s="77" t="str">
        <f t="shared" si="12"/>
        <v/>
      </c>
    </row>
    <row r="43">
      <c r="A43" s="84" t="s">
        <v>137</v>
      </c>
      <c r="B43" s="85" t="s">
        <v>26</v>
      </c>
      <c r="C43" s="73">
        <v>15.0</v>
      </c>
      <c r="D43" s="73">
        <v>9.0</v>
      </c>
      <c r="E43" s="73">
        <v>0.0</v>
      </c>
      <c r="F43" s="73">
        <v>3.0</v>
      </c>
      <c r="G43" s="73">
        <v>0.0</v>
      </c>
      <c r="H43" s="73">
        <v>6.0</v>
      </c>
      <c r="I43" s="73">
        <v>3.0</v>
      </c>
      <c r="J43" s="73">
        <v>2.0</v>
      </c>
      <c r="K43" s="73">
        <v>1.0</v>
      </c>
      <c r="L43" s="74">
        <f t="shared" si="1"/>
        <v>0.6</v>
      </c>
      <c r="M43" s="74">
        <f t="shared" si="2"/>
        <v>0.4</v>
      </c>
      <c r="N43" s="74">
        <f t="shared" si="3"/>
        <v>0.1333333333</v>
      </c>
      <c r="O43" s="74">
        <f t="shared" si="4"/>
        <v>0.3333333333</v>
      </c>
      <c r="P43" s="76">
        <v>194.0</v>
      </c>
      <c r="Q43" s="76">
        <f t="shared" si="5"/>
        <v>375</v>
      </c>
      <c r="R43" s="76">
        <f t="shared" si="6"/>
        <v>291</v>
      </c>
      <c r="S43" s="76">
        <f t="shared" si="7"/>
        <v>207</v>
      </c>
      <c r="T43" s="76">
        <f t="shared" si="8"/>
        <v>582</v>
      </c>
      <c r="U43" s="76">
        <f t="shared" si="9"/>
        <v>789</v>
      </c>
      <c r="V43" s="76">
        <f t="shared" si="10"/>
        <v>1164</v>
      </c>
      <c r="W43" s="76">
        <f t="shared" si="11"/>
        <v>1953</v>
      </c>
      <c r="X43" s="77">
        <f t="shared" si="12"/>
        <v>1.932989691</v>
      </c>
    </row>
    <row r="44" ht="24.0" customHeight="1">
      <c r="A44" s="92"/>
      <c r="B44" s="93" t="s">
        <v>103</v>
      </c>
      <c r="C44" s="94">
        <f t="shared" ref="C44:K44" si="15">SUM(C32:C43)</f>
        <v>220</v>
      </c>
      <c r="D44" s="94">
        <f t="shared" si="15"/>
        <v>49</v>
      </c>
      <c r="E44" s="94">
        <f t="shared" si="15"/>
        <v>4</v>
      </c>
      <c r="F44" s="94">
        <f t="shared" si="15"/>
        <v>17</v>
      </c>
      <c r="G44" s="94">
        <f t="shared" si="15"/>
        <v>2</v>
      </c>
      <c r="H44" s="94">
        <f t="shared" si="15"/>
        <v>32</v>
      </c>
      <c r="I44" s="94">
        <f t="shared" si="15"/>
        <v>12</v>
      </c>
      <c r="J44" s="94">
        <f t="shared" si="15"/>
        <v>10</v>
      </c>
      <c r="K44" s="94">
        <f t="shared" si="15"/>
        <v>2</v>
      </c>
      <c r="L44" s="95">
        <f t="shared" si="1"/>
        <v>0.2227272727</v>
      </c>
      <c r="M44" s="95">
        <f t="shared" si="2"/>
        <v>0.1454545455</v>
      </c>
      <c r="N44" s="95">
        <f t="shared" si="3"/>
        <v>0.04545454545</v>
      </c>
      <c r="O44" s="95">
        <f t="shared" si="4"/>
        <v>0.3125</v>
      </c>
      <c r="P44" s="96"/>
      <c r="Q44" s="96">
        <f t="shared" si="5"/>
        <v>5500</v>
      </c>
      <c r="R44" s="96">
        <f t="shared" si="6"/>
        <v>0</v>
      </c>
      <c r="S44" s="96">
        <f t="shared" si="7"/>
        <v>-5500</v>
      </c>
      <c r="T44" s="96">
        <f t="shared" si="8"/>
        <v>0</v>
      </c>
      <c r="U44" s="96">
        <f t="shared" si="9"/>
        <v>-5500</v>
      </c>
      <c r="V44" s="96">
        <f t="shared" si="10"/>
        <v>0</v>
      </c>
      <c r="W44" s="96">
        <f t="shared" si="11"/>
        <v>-5500</v>
      </c>
      <c r="X44" s="97" t="str">
        <f t="shared" si="12"/>
        <v/>
      </c>
    </row>
    <row r="45">
      <c r="A45" s="98"/>
      <c r="B45" s="99"/>
      <c r="C45" s="100"/>
      <c r="D45" s="100"/>
      <c r="E45" s="100"/>
      <c r="F45" s="100"/>
      <c r="G45" s="100"/>
      <c r="H45" s="100"/>
      <c r="I45" s="100"/>
      <c r="J45" s="100"/>
      <c r="K45" s="100"/>
      <c r="L45" s="74" t="str">
        <f t="shared" si="1"/>
        <v>#DIV/0!</v>
      </c>
      <c r="M45" s="74" t="str">
        <f t="shared" si="2"/>
        <v>#DIV/0!</v>
      </c>
      <c r="N45" s="74" t="str">
        <f t="shared" si="3"/>
        <v>#DIV/0!</v>
      </c>
      <c r="O45" s="74" t="str">
        <f t="shared" si="4"/>
        <v>#DIV/0!</v>
      </c>
      <c r="P45" s="76"/>
      <c r="Q45" s="76">
        <f t="shared" si="5"/>
        <v>0</v>
      </c>
      <c r="R45" s="76">
        <f t="shared" si="6"/>
        <v>0</v>
      </c>
      <c r="S45" s="76">
        <f t="shared" si="7"/>
        <v>0</v>
      </c>
      <c r="T45" s="76">
        <f t="shared" si="8"/>
        <v>0</v>
      </c>
      <c r="U45" s="76">
        <f t="shared" si="9"/>
        <v>0</v>
      </c>
      <c r="V45" s="76">
        <f t="shared" si="10"/>
        <v>0</v>
      </c>
      <c r="W45" s="76">
        <f t="shared" si="11"/>
        <v>0</v>
      </c>
      <c r="X45" s="77" t="str">
        <f t="shared" si="12"/>
        <v/>
      </c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</sheetData>
  <dataValidations>
    <dataValidation type="custom" allowBlank="1" showDropDown="1" sqref="C4:O45">
      <formula1>AND(ISNUMBER(C4),(NOT(OR(NOT(ISERROR(DATEVALUE(C4))), AND(ISNUMBER(C4), LEFT(CELL("format", C4))="D")))))</formula1>
    </dataValidation>
    <dataValidation type="list" allowBlank="1" sqref="A4:A45">
      <formula1>"March 18 - March 31,April 1 - April 30,May 1 - May 17"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3" max="3" width="9.75"/>
    <col customWidth="1" min="4" max="4" width="10.5"/>
    <col customWidth="1" min="5" max="5" width="10.38"/>
    <col customWidth="1" min="6" max="6" width="10.88"/>
    <col customWidth="1" min="7" max="7" width="10.63"/>
    <col customWidth="1" min="8" max="8" width="12.25"/>
    <col customWidth="1" min="9" max="9" width="11.75"/>
    <col customWidth="1" min="10" max="10" width="11.38"/>
    <col customWidth="1" min="11" max="11" width="11.25"/>
    <col customWidth="1" min="12" max="12" width="13.13"/>
    <col customWidth="1" min="13" max="13" width="13.75"/>
    <col customWidth="1" min="14" max="14" width="14.25"/>
    <col customWidth="1" min="15" max="15" width="14.13"/>
    <col customWidth="1" min="16" max="16" width="13.25"/>
    <col customWidth="1" min="17" max="17" width="11.38"/>
    <col customWidth="1" min="18" max="18" width="12.25"/>
    <col customWidth="1" min="19" max="19" width="11.25"/>
    <col customWidth="1" min="20" max="20" width="12.0"/>
    <col customWidth="1" min="21" max="21" width="12.75"/>
    <col customWidth="1" min="22" max="22" width="12.63"/>
    <col customWidth="1" min="23" max="23" width="11.63"/>
    <col customWidth="1" min="24" max="24" width="11.25"/>
  </cols>
  <sheetData>
    <row r="1">
      <c r="A1" s="101" t="s">
        <v>120</v>
      </c>
      <c r="B1" s="102">
        <v>25.0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3"/>
      <c r="Z2" s="103"/>
    </row>
    <row r="3">
      <c r="A3" s="105" t="s">
        <v>138</v>
      </c>
      <c r="B3" s="105" t="s">
        <v>1</v>
      </c>
      <c r="C3" s="105" t="s">
        <v>2</v>
      </c>
      <c r="D3" s="105" t="s">
        <v>3</v>
      </c>
      <c r="E3" s="105" t="s">
        <v>122</v>
      </c>
      <c r="F3" s="105" t="s">
        <v>5</v>
      </c>
      <c r="G3" s="105" t="s">
        <v>6</v>
      </c>
      <c r="H3" s="105" t="s">
        <v>7</v>
      </c>
      <c r="I3" s="105" t="s">
        <v>8</v>
      </c>
      <c r="J3" s="105" t="s">
        <v>9</v>
      </c>
      <c r="K3" s="105" t="s">
        <v>10</v>
      </c>
      <c r="L3" s="105" t="s">
        <v>11</v>
      </c>
      <c r="M3" s="105" t="s">
        <v>12</v>
      </c>
      <c r="N3" s="105" t="s">
        <v>13</v>
      </c>
      <c r="O3" s="105" t="s">
        <v>14</v>
      </c>
      <c r="P3" s="105" t="s">
        <v>126</v>
      </c>
      <c r="Q3" s="105" t="s">
        <v>127</v>
      </c>
      <c r="R3" s="105" t="s">
        <v>128</v>
      </c>
      <c r="S3" s="105" t="s">
        <v>129</v>
      </c>
      <c r="T3" s="105" t="s">
        <v>130</v>
      </c>
      <c r="U3" s="105" t="s">
        <v>131</v>
      </c>
      <c r="V3" s="105" t="s">
        <v>132</v>
      </c>
      <c r="W3" s="105" t="s">
        <v>133</v>
      </c>
      <c r="X3" s="105" t="s">
        <v>134</v>
      </c>
      <c r="Y3" s="103"/>
      <c r="Z3" s="103"/>
    </row>
    <row r="4" ht="19.5" customHeight="1">
      <c r="A4" s="106" t="s">
        <v>139</v>
      </c>
      <c r="B4" s="107" t="s">
        <v>17</v>
      </c>
      <c r="C4" s="108">
        <v>42.0</v>
      </c>
      <c r="D4" s="108">
        <v>2.0</v>
      </c>
      <c r="E4" s="108">
        <v>0.0</v>
      </c>
      <c r="F4" s="108">
        <v>1.0</v>
      </c>
      <c r="G4" s="108">
        <v>0.0</v>
      </c>
      <c r="H4" s="108">
        <v>1.0</v>
      </c>
      <c r="I4" s="108">
        <v>0.0</v>
      </c>
      <c r="J4" s="108">
        <v>0.0</v>
      </c>
      <c r="K4" s="108">
        <v>0.0</v>
      </c>
      <c r="L4" s="109">
        <v>0.04761904761904762</v>
      </c>
      <c r="M4" s="109">
        <v>0.02380952380952381</v>
      </c>
      <c r="N4" s="109">
        <v>0.0</v>
      </c>
      <c r="O4" s="109">
        <v>0.0</v>
      </c>
      <c r="P4" s="110">
        <v>0.0</v>
      </c>
      <c r="Q4" s="110">
        <f t="shared" ref="Q4:Q17" si="1">C4*$B$1</f>
        <v>1050</v>
      </c>
      <c r="R4" s="110">
        <f t="shared" ref="R4:R17" si="2">P4*3*50%</f>
        <v>0</v>
      </c>
      <c r="S4" s="110">
        <f t="shared" ref="S4:S17" si="3">P4*3-Q4</f>
        <v>-1050</v>
      </c>
      <c r="T4" s="110">
        <f t="shared" ref="T4:T17" si="4">P4*6*50%</f>
        <v>0</v>
      </c>
      <c r="U4" s="110">
        <f t="shared" ref="U4:U17" si="5">P4*6-Q4</f>
        <v>-1050</v>
      </c>
      <c r="V4" s="110">
        <f t="shared" ref="V4:V17" si="6">P4*12*50%</f>
        <v>0</v>
      </c>
      <c r="W4" s="110">
        <f t="shared" ref="W4:W17" si="7">P4*12-Q4</f>
        <v>-1050</v>
      </c>
      <c r="X4" s="111" t="str">
        <f t="shared" ref="X4:X17" si="8">IF(P4&gt;0,Q4/P4,"")</f>
        <v/>
      </c>
      <c r="Y4" s="103"/>
      <c r="Z4" s="103"/>
    </row>
    <row r="5">
      <c r="A5" s="106" t="s">
        <v>139</v>
      </c>
      <c r="B5" s="107" t="s">
        <v>18</v>
      </c>
      <c r="C5" s="108">
        <v>100.0</v>
      </c>
      <c r="D5" s="108">
        <v>42.0</v>
      </c>
      <c r="E5" s="108">
        <v>6.0</v>
      </c>
      <c r="F5" s="108">
        <v>16.0</v>
      </c>
      <c r="G5" s="108">
        <v>0.0</v>
      </c>
      <c r="H5" s="108">
        <v>26.0</v>
      </c>
      <c r="I5" s="108">
        <v>12.0</v>
      </c>
      <c r="J5" s="108">
        <v>11.0</v>
      </c>
      <c r="K5" s="108">
        <v>1.0</v>
      </c>
      <c r="L5" s="109">
        <v>0.42</v>
      </c>
      <c r="M5" s="109">
        <v>0.26</v>
      </c>
      <c r="N5" s="109">
        <v>0.11</v>
      </c>
      <c r="O5" s="109">
        <v>0.4230769230769231</v>
      </c>
      <c r="P5" s="110">
        <v>3302.0</v>
      </c>
      <c r="Q5" s="110">
        <f t="shared" si="1"/>
        <v>2500</v>
      </c>
      <c r="R5" s="110">
        <f t="shared" si="2"/>
        <v>4953</v>
      </c>
      <c r="S5" s="110">
        <f t="shared" si="3"/>
        <v>7406</v>
      </c>
      <c r="T5" s="110">
        <f t="shared" si="4"/>
        <v>9906</v>
      </c>
      <c r="U5" s="110">
        <f t="shared" si="5"/>
        <v>17312</v>
      </c>
      <c r="V5" s="110">
        <f t="shared" si="6"/>
        <v>19812</v>
      </c>
      <c r="W5" s="110">
        <f t="shared" si="7"/>
        <v>37124</v>
      </c>
      <c r="X5" s="111">
        <f t="shared" si="8"/>
        <v>0.7571168988</v>
      </c>
      <c r="Y5" s="103"/>
      <c r="Z5" s="103"/>
    </row>
    <row r="6">
      <c r="A6" s="106" t="s">
        <v>139</v>
      </c>
      <c r="B6" s="107" t="s">
        <v>19</v>
      </c>
      <c r="C6" s="108">
        <v>241.0</v>
      </c>
      <c r="D6" s="108">
        <v>29.0</v>
      </c>
      <c r="E6" s="108">
        <v>2.0</v>
      </c>
      <c r="F6" s="108">
        <v>10.0</v>
      </c>
      <c r="G6" s="108">
        <v>0.0</v>
      </c>
      <c r="H6" s="108">
        <v>19.0</v>
      </c>
      <c r="I6" s="108">
        <v>4.0</v>
      </c>
      <c r="J6" s="108">
        <v>3.0</v>
      </c>
      <c r="K6" s="108">
        <v>1.0</v>
      </c>
      <c r="L6" s="109">
        <v>0.1203319502074689</v>
      </c>
      <c r="M6" s="109">
        <v>0.07883817427385892</v>
      </c>
      <c r="N6" s="109">
        <v>0.01244813278008299</v>
      </c>
      <c r="O6" s="109">
        <v>0.1578947368421053</v>
      </c>
      <c r="P6" s="110">
        <v>800.0</v>
      </c>
      <c r="Q6" s="110">
        <f t="shared" si="1"/>
        <v>6025</v>
      </c>
      <c r="R6" s="110">
        <f t="shared" si="2"/>
        <v>1200</v>
      </c>
      <c r="S6" s="110">
        <f t="shared" si="3"/>
        <v>-3625</v>
      </c>
      <c r="T6" s="110">
        <f t="shared" si="4"/>
        <v>2400</v>
      </c>
      <c r="U6" s="110">
        <f t="shared" si="5"/>
        <v>-1225</v>
      </c>
      <c r="V6" s="110">
        <f t="shared" si="6"/>
        <v>4800</v>
      </c>
      <c r="W6" s="110">
        <f t="shared" si="7"/>
        <v>3575</v>
      </c>
      <c r="X6" s="111">
        <f t="shared" si="8"/>
        <v>7.53125</v>
      </c>
      <c r="Y6" s="103"/>
      <c r="Z6" s="103"/>
    </row>
    <row r="7">
      <c r="A7" s="106" t="s">
        <v>139</v>
      </c>
      <c r="B7" s="107" t="s">
        <v>20</v>
      </c>
      <c r="C7" s="108">
        <v>163.0</v>
      </c>
      <c r="D7" s="108">
        <v>12.0</v>
      </c>
      <c r="E7" s="108">
        <v>0.0</v>
      </c>
      <c r="F7" s="108">
        <v>0.0</v>
      </c>
      <c r="G7" s="108">
        <v>12.0</v>
      </c>
      <c r="H7" s="108">
        <v>12.0</v>
      </c>
      <c r="I7" s="108">
        <v>1.0</v>
      </c>
      <c r="J7" s="108">
        <v>0.0</v>
      </c>
      <c r="K7" s="108">
        <v>1.0</v>
      </c>
      <c r="L7" s="109">
        <v>0.0736196319018405</v>
      </c>
      <c r="M7" s="109">
        <v>0.0736196319018405</v>
      </c>
      <c r="N7" s="109">
        <v>0.0</v>
      </c>
      <c r="O7" s="109">
        <v>0.0</v>
      </c>
      <c r="P7" s="110">
        <v>0.0</v>
      </c>
      <c r="Q7" s="110">
        <f t="shared" si="1"/>
        <v>4075</v>
      </c>
      <c r="R7" s="110">
        <f t="shared" si="2"/>
        <v>0</v>
      </c>
      <c r="S7" s="110">
        <f t="shared" si="3"/>
        <v>-4075</v>
      </c>
      <c r="T7" s="110">
        <f t="shared" si="4"/>
        <v>0</v>
      </c>
      <c r="U7" s="110">
        <f t="shared" si="5"/>
        <v>-4075</v>
      </c>
      <c r="V7" s="110">
        <f t="shared" si="6"/>
        <v>0</v>
      </c>
      <c r="W7" s="110">
        <f t="shared" si="7"/>
        <v>-4075</v>
      </c>
      <c r="X7" s="111" t="str">
        <f t="shared" si="8"/>
        <v/>
      </c>
      <c r="Y7" s="103"/>
      <c r="Z7" s="103"/>
    </row>
    <row r="8">
      <c r="A8" s="106" t="s">
        <v>139</v>
      </c>
      <c r="B8" s="107" t="s">
        <v>30</v>
      </c>
      <c r="C8" s="108">
        <v>19.0</v>
      </c>
      <c r="D8" s="108">
        <v>4.0</v>
      </c>
      <c r="E8" s="108">
        <v>0.0</v>
      </c>
      <c r="F8" s="108">
        <v>0.0</v>
      </c>
      <c r="G8" s="108">
        <v>0.0</v>
      </c>
      <c r="H8" s="108">
        <v>4.0</v>
      </c>
      <c r="I8" s="108">
        <v>0.0</v>
      </c>
      <c r="J8" s="108">
        <v>0.0</v>
      </c>
      <c r="K8" s="108">
        <v>0.0</v>
      </c>
      <c r="L8" s="109">
        <v>0.2105263157894737</v>
      </c>
      <c r="M8" s="109">
        <v>0.2105263157894737</v>
      </c>
      <c r="N8" s="109">
        <v>0.0</v>
      </c>
      <c r="O8" s="109">
        <v>0.0</v>
      </c>
      <c r="P8" s="110">
        <v>0.0</v>
      </c>
      <c r="Q8" s="110">
        <f t="shared" si="1"/>
        <v>475</v>
      </c>
      <c r="R8" s="110">
        <f t="shared" si="2"/>
        <v>0</v>
      </c>
      <c r="S8" s="110">
        <f t="shared" si="3"/>
        <v>-475</v>
      </c>
      <c r="T8" s="110">
        <f t="shared" si="4"/>
        <v>0</v>
      </c>
      <c r="U8" s="110">
        <f t="shared" si="5"/>
        <v>-475</v>
      </c>
      <c r="V8" s="110">
        <f t="shared" si="6"/>
        <v>0</v>
      </c>
      <c r="W8" s="110">
        <f t="shared" si="7"/>
        <v>-475</v>
      </c>
      <c r="X8" s="111" t="str">
        <f t="shared" si="8"/>
        <v/>
      </c>
      <c r="Y8" s="103"/>
      <c r="Z8" s="103"/>
    </row>
    <row r="9">
      <c r="A9" s="106" t="s">
        <v>139</v>
      </c>
      <c r="B9" s="107" t="s">
        <v>21</v>
      </c>
      <c r="C9" s="108">
        <v>137.0</v>
      </c>
      <c r="D9" s="108">
        <v>34.0</v>
      </c>
      <c r="E9" s="108">
        <v>5.0</v>
      </c>
      <c r="F9" s="108">
        <v>11.0</v>
      </c>
      <c r="G9" s="108">
        <v>0.0</v>
      </c>
      <c r="H9" s="108">
        <v>23.0</v>
      </c>
      <c r="I9" s="108">
        <v>4.0</v>
      </c>
      <c r="J9" s="108">
        <v>4.0</v>
      </c>
      <c r="K9" s="108">
        <v>0.0</v>
      </c>
      <c r="L9" s="109">
        <v>0.2481751824817518</v>
      </c>
      <c r="M9" s="109">
        <v>0.1678832116788321</v>
      </c>
      <c r="N9" s="109">
        <v>0.0291970802919708</v>
      </c>
      <c r="O9" s="109">
        <v>0.1739130434782609</v>
      </c>
      <c r="P9" s="110">
        <v>1250.0</v>
      </c>
      <c r="Q9" s="110">
        <f t="shared" si="1"/>
        <v>3425</v>
      </c>
      <c r="R9" s="110">
        <f t="shared" si="2"/>
        <v>1875</v>
      </c>
      <c r="S9" s="110">
        <f t="shared" si="3"/>
        <v>325</v>
      </c>
      <c r="T9" s="110">
        <f t="shared" si="4"/>
        <v>3750</v>
      </c>
      <c r="U9" s="110">
        <f t="shared" si="5"/>
        <v>4075</v>
      </c>
      <c r="V9" s="110">
        <f t="shared" si="6"/>
        <v>7500</v>
      </c>
      <c r="W9" s="110">
        <f t="shared" si="7"/>
        <v>11575</v>
      </c>
      <c r="X9" s="111">
        <f t="shared" si="8"/>
        <v>2.74</v>
      </c>
      <c r="Y9" s="103"/>
      <c r="Z9" s="103"/>
    </row>
    <row r="10">
      <c r="A10" s="106" t="s">
        <v>139</v>
      </c>
      <c r="B10" s="107" t="s">
        <v>22</v>
      </c>
      <c r="C10" s="108">
        <v>141.0</v>
      </c>
      <c r="D10" s="108">
        <v>34.0</v>
      </c>
      <c r="E10" s="108">
        <v>3.0</v>
      </c>
      <c r="F10" s="108">
        <v>13.0</v>
      </c>
      <c r="G10" s="108">
        <v>0.0</v>
      </c>
      <c r="H10" s="108">
        <v>21.0</v>
      </c>
      <c r="I10" s="108">
        <v>5.0</v>
      </c>
      <c r="J10" s="108">
        <v>5.0</v>
      </c>
      <c r="K10" s="108">
        <v>0.0</v>
      </c>
      <c r="L10" s="109">
        <v>0.2411347517730496</v>
      </c>
      <c r="M10" s="109">
        <v>0.148936170212766</v>
      </c>
      <c r="N10" s="109">
        <v>0.03546099290780142</v>
      </c>
      <c r="O10" s="109">
        <v>0.2380952380952381</v>
      </c>
      <c r="P10" s="110">
        <v>2598.0</v>
      </c>
      <c r="Q10" s="110">
        <f t="shared" si="1"/>
        <v>3525</v>
      </c>
      <c r="R10" s="110">
        <f t="shared" si="2"/>
        <v>3897</v>
      </c>
      <c r="S10" s="110">
        <f t="shared" si="3"/>
        <v>4269</v>
      </c>
      <c r="T10" s="110">
        <f t="shared" si="4"/>
        <v>7794</v>
      </c>
      <c r="U10" s="110">
        <f t="shared" si="5"/>
        <v>12063</v>
      </c>
      <c r="V10" s="110">
        <f t="shared" si="6"/>
        <v>15588</v>
      </c>
      <c r="W10" s="110">
        <f t="shared" si="7"/>
        <v>27651</v>
      </c>
      <c r="X10" s="111">
        <f t="shared" si="8"/>
        <v>1.356812933</v>
      </c>
      <c r="Y10" s="103"/>
      <c r="Z10" s="103"/>
    </row>
    <row r="11">
      <c r="A11" s="106" t="s">
        <v>139</v>
      </c>
      <c r="B11" s="107" t="s">
        <v>31</v>
      </c>
      <c r="C11" s="108">
        <v>101.0</v>
      </c>
      <c r="D11" s="108">
        <v>34.0</v>
      </c>
      <c r="E11" s="108">
        <v>3.0</v>
      </c>
      <c r="F11" s="108">
        <v>10.0</v>
      </c>
      <c r="G11" s="108">
        <v>1.0</v>
      </c>
      <c r="H11" s="108">
        <v>24.0</v>
      </c>
      <c r="I11" s="108">
        <v>11.0</v>
      </c>
      <c r="J11" s="108">
        <v>9.0</v>
      </c>
      <c r="K11" s="108">
        <v>2.0</v>
      </c>
      <c r="L11" s="109">
        <v>0.3366336633663367</v>
      </c>
      <c r="M11" s="109">
        <v>0.2376237623762376</v>
      </c>
      <c r="N11" s="109">
        <v>0.0891089108910891</v>
      </c>
      <c r="O11" s="109">
        <v>0.375</v>
      </c>
      <c r="P11" s="110">
        <v>2391.0</v>
      </c>
      <c r="Q11" s="110">
        <f t="shared" si="1"/>
        <v>2525</v>
      </c>
      <c r="R11" s="110">
        <f t="shared" si="2"/>
        <v>3586.5</v>
      </c>
      <c r="S11" s="110">
        <f t="shared" si="3"/>
        <v>4648</v>
      </c>
      <c r="T11" s="110">
        <f t="shared" si="4"/>
        <v>7173</v>
      </c>
      <c r="U11" s="110">
        <f t="shared" si="5"/>
        <v>11821</v>
      </c>
      <c r="V11" s="110">
        <f t="shared" si="6"/>
        <v>14346</v>
      </c>
      <c r="W11" s="110">
        <f t="shared" si="7"/>
        <v>26167</v>
      </c>
      <c r="X11" s="111">
        <f t="shared" si="8"/>
        <v>1.056043496</v>
      </c>
      <c r="Y11" s="103"/>
      <c r="Z11" s="103"/>
    </row>
    <row r="12">
      <c r="A12" s="106" t="s">
        <v>139</v>
      </c>
      <c r="B12" s="107" t="s">
        <v>23</v>
      </c>
      <c r="C12" s="108">
        <v>35.0</v>
      </c>
      <c r="D12" s="108">
        <v>12.0</v>
      </c>
      <c r="E12" s="108">
        <v>1.0</v>
      </c>
      <c r="F12" s="108">
        <v>1.0</v>
      </c>
      <c r="G12" s="108">
        <v>4.0</v>
      </c>
      <c r="H12" s="108">
        <v>11.0</v>
      </c>
      <c r="I12" s="108">
        <v>1.0</v>
      </c>
      <c r="J12" s="108">
        <v>1.0</v>
      </c>
      <c r="K12" s="108">
        <v>0.0</v>
      </c>
      <c r="L12" s="109">
        <v>0.3428571428571429</v>
      </c>
      <c r="M12" s="109">
        <v>0.3142857142857143</v>
      </c>
      <c r="N12" s="109">
        <v>0.02857142857142857</v>
      </c>
      <c r="O12" s="109">
        <v>0.09090909090909091</v>
      </c>
      <c r="P12" s="110">
        <v>225.0</v>
      </c>
      <c r="Q12" s="110">
        <f t="shared" si="1"/>
        <v>875</v>
      </c>
      <c r="R12" s="110">
        <f t="shared" si="2"/>
        <v>337.5</v>
      </c>
      <c r="S12" s="110">
        <f t="shared" si="3"/>
        <v>-200</v>
      </c>
      <c r="T12" s="110">
        <f t="shared" si="4"/>
        <v>675</v>
      </c>
      <c r="U12" s="110">
        <f t="shared" si="5"/>
        <v>475</v>
      </c>
      <c r="V12" s="110">
        <f t="shared" si="6"/>
        <v>1350</v>
      </c>
      <c r="W12" s="110">
        <f t="shared" si="7"/>
        <v>1825</v>
      </c>
      <c r="X12" s="111">
        <f t="shared" si="8"/>
        <v>3.888888889</v>
      </c>
      <c r="Y12" s="103"/>
      <c r="Z12" s="103"/>
    </row>
    <row r="13">
      <c r="A13" s="106" t="s">
        <v>139</v>
      </c>
      <c r="B13" s="107" t="s">
        <v>24</v>
      </c>
      <c r="C13" s="108">
        <v>9.0</v>
      </c>
      <c r="D13" s="108">
        <v>1.0</v>
      </c>
      <c r="E13" s="108">
        <v>0.0</v>
      </c>
      <c r="F13" s="108">
        <v>0.0</v>
      </c>
      <c r="G13" s="108">
        <v>0.0</v>
      </c>
      <c r="H13" s="108">
        <v>1.0</v>
      </c>
      <c r="I13" s="108">
        <v>1.0</v>
      </c>
      <c r="J13" s="108">
        <v>1.0</v>
      </c>
      <c r="K13" s="108">
        <v>0.0</v>
      </c>
      <c r="L13" s="109">
        <v>0.1111111111111111</v>
      </c>
      <c r="M13" s="109">
        <v>0.1111111111111111</v>
      </c>
      <c r="N13" s="109">
        <v>0.1111111111111111</v>
      </c>
      <c r="O13" s="109">
        <v>1.0</v>
      </c>
      <c r="P13" s="110">
        <v>350.0</v>
      </c>
      <c r="Q13" s="110">
        <f t="shared" si="1"/>
        <v>225</v>
      </c>
      <c r="R13" s="110">
        <f t="shared" si="2"/>
        <v>525</v>
      </c>
      <c r="S13" s="110">
        <f t="shared" si="3"/>
        <v>825</v>
      </c>
      <c r="T13" s="110">
        <f t="shared" si="4"/>
        <v>1050</v>
      </c>
      <c r="U13" s="110">
        <f t="shared" si="5"/>
        <v>1875</v>
      </c>
      <c r="V13" s="110">
        <f t="shared" si="6"/>
        <v>2100</v>
      </c>
      <c r="W13" s="110">
        <f t="shared" si="7"/>
        <v>3975</v>
      </c>
      <c r="X13" s="111">
        <f t="shared" si="8"/>
        <v>0.6428571429</v>
      </c>
      <c r="Y13" s="103"/>
      <c r="Z13" s="103"/>
    </row>
    <row r="14">
      <c r="A14" s="106" t="s">
        <v>139</v>
      </c>
      <c r="B14" s="107" t="s">
        <v>25</v>
      </c>
      <c r="C14" s="108">
        <v>103.0</v>
      </c>
      <c r="D14" s="108">
        <v>23.0</v>
      </c>
      <c r="E14" s="108">
        <v>2.0</v>
      </c>
      <c r="F14" s="108">
        <v>7.0</v>
      </c>
      <c r="G14" s="108">
        <v>0.0</v>
      </c>
      <c r="H14" s="108">
        <v>16.0</v>
      </c>
      <c r="I14" s="108">
        <v>2.0</v>
      </c>
      <c r="J14" s="108">
        <v>1.0</v>
      </c>
      <c r="K14" s="108">
        <v>1.0</v>
      </c>
      <c r="L14" s="109">
        <v>0.2233009708737864</v>
      </c>
      <c r="M14" s="109">
        <v>0.1553398058252427</v>
      </c>
      <c r="N14" s="109">
        <v>0.009708737864077669</v>
      </c>
      <c r="O14" s="109">
        <v>0.0625</v>
      </c>
      <c r="P14" s="110">
        <v>290.0</v>
      </c>
      <c r="Q14" s="110">
        <f t="shared" si="1"/>
        <v>2575</v>
      </c>
      <c r="R14" s="110">
        <f t="shared" si="2"/>
        <v>435</v>
      </c>
      <c r="S14" s="110">
        <f t="shared" si="3"/>
        <v>-1705</v>
      </c>
      <c r="T14" s="110">
        <f t="shared" si="4"/>
        <v>870</v>
      </c>
      <c r="U14" s="110">
        <f t="shared" si="5"/>
        <v>-835</v>
      </c>
      <c r="V14" s="110">
        <f t="shared" si="6"/>
        <v>1740</v>
      </c>
      <c r="W14" s="110">
        <f t="shared" si="7"/>
        <v>905</v>
      </c>
      <c r="X14" s="111">
        <f t="shared" si="8"/>
        <v>8.879310345</v>
      </c>
      <c r="Y14" s="103"/>
      <c r="Z14" s="103"/>
    </row>
    <row r="15">
      <c r="A15" s="106" t="s">
        <v>139</v>
      </c>
      <c r="B15" s="107" t="s">
        <v>26</v>
      </c>
      <c r="C15" s="108">
        <v>60.0</v>
      </c>
      <c r="D15" s="108">
        <v>24.0</v>
      </c>
      <c r="E15" s="108">
        <v>2.0</v>
      </c>
      <c r="F15" s="108">
        <v>7.0</v>
      </c>
      <c r="G15" s="108">
        <v>0.0</v>
      </c>
      <c r="H15" s="108">
        <v>17.0</v>
      </c>
      <c r="I15" s="108">
        <v>4.0</v>
      </c>
      <c r="J15" s="108">
        <v>3.0</v>
      </c>
      <c r="K15" s="108">
        <v>1.0</v>
      </c>
      <c r="L15" s="109">
        <v>0.4</v>
      </c>
      <c r="M15" s="109">
        <v>0.2833333333333333</v>
      </c>
      <c r="N15" s="109">
        <v>0.05</v>
      </c>
      <c r="O15" s="109">
        <v>0.1764705882352941</v>
      </c>
      <c r="P15" s="110">
        <v>391.0</v>
      </c>
      <c r="Q15" s="110">
        <f t="shared" si="1"/>
        <v>1500</v>
      </c>
      <c r="R15" s="110">
        <f t="shared" si="2"/>
        <v>586.5</v>
      </c>
      <c r="S15" s="110">
        <f t="shared" si="3"/>
        <v>-327</v>
      </c>
      <c r="T15" s="110">
        <f t="shared" si="4"/>
        <v>1173</v>
      </c>
      <c r="U15" s="110">
        <f t="shared" si="5"/>
        <v>846</v>
      </c>
      <c r="V15" s="110">
        <f t="shared" si="6"/>
        <v>2346</v>
      </c>
      <c r="W15" s="110">
        <f t="shared" si="7"/>
        <v>3192</v>
      </c>
      <c r="X15" s="111">
        <f t="shared" si="8"/>
        <v>3.836317136</v>
      </c>
      <c r="Y15" s="103"/>
      <c r="Z15" s="103"/>
    </row>
    <row r="16">
      <c r="A16" s="106" t="s">
        <v>139</v>
      </c>
      <c r="B16" s="107" t="s">
        <v>27</v>
      </c>
      <c r="C16" s="108">
        <v>174.0</v>
      </c>
      <c r="D16" s="108">
        <v>44.0</v>
      </c>
      <c r="E16" s="108">
        <v>6.0</v>
      </c>
      <c r="F16" s="108">
        <v>0.0</v>
      </c>
      <c r="G16" s="108">
        <v>38.0</v>
      </c>
      <c r="H16" s="108">
        <v>44.0</v>
      </c>
      <c r="I16" s="108">
        <v>5.0</v>
      </c>
      <c r="J16" s="108">
        <v>5.0</v>
      </c>
      <c r="K16" s="108">
        <v>0.0</v>
      </c>
      <c r="L16" s="109">
        <v>0.2528735632183908</v>
      </c>
      <c r="M16" s="109">
        <v>0.2528735632183908</v>
      </c>
      <c r="N16" s="109">
        <v>0.02873563218390805</v>
      </c>
      <c r="O16" s="109">
        <v>0.1136363636363636</v>
      </c>
      <c r="P16" s="110">
        <v>2400.0</v>
      </c>
      <c r="Q16" s="110">
        <f t="shared" si="1"/>
        <v>4350</v>
      </c>
      <c r="R16" s="110">
        <f t="shared" si="2"/>
        <v>3600</v>
      </c>
      <c r="S16" s="110">
        <f t="shared" si="3"/>
        <v>2850</v>
      </c>
      <c r="T16" s="110">
        <f t="shared" si="4"/>
        <v>7200</v>
      </c>
      <c r="U16" s="110">
        <f t="shared" si="5"/>
        <v>10050</v>
      </c>
      <c r="V16" s="110">
        <f t="shared" si="6"/>
        <v>14400</v>
      </c>
      <c r="W16" s="110">
        <f t="shared" si="7"/>
        <v>24450</v>
      </c>
      <c r="X16" s="111">
        <f t="shared" si="8"/>
        <v>1.8125</v>
      </c>
      <c r="Y16" s="103"/>
      <c r="Z16" s="103"/>
    </row>
    <row r="17">
      <c r="A17" s="84"/>
      <c r="B17" s="112" t="s">
        <v>103</v>
      </c>
      <c r="C17" s="108">
        <f t="shared" ref="C17:K17" si="9">SUM(C4:C16)</f>
        <v>1325</v>
      </c>
      <c r="D17" s="108">
        <f t="shared" si="9"/>
        <v>295</v>
      </c>
      <c r="E17" s="108">
        <f t="shared" si="9"/>
        <v>30</v>
      </c>
      <c r="F17" s="108">
        <f t="shared" si="9"/>
        <v>76</v>
      </c>
      <c r="G17" s="108">
        <f t="shared" si="9"/>
        <v>55</v>
      </c>
      <c r="H17" s="108">
        <f t="shared" si="9"/>
        <v>219</v>
      </c>
      <c r="I17" s="108">
        <f t="shared" si="9"/>
        <v>50</v>
      </c>
      <c r="J17" s="108">
        <f t="shared" si="9"/>
        <v>43</v>
      </c>
      <c r="K17" s="108">
        <f t="shared" si="9"/>
        <v>7</v>
      </c>
      <c r="L17" s="109"/>
      <c r="M17" s="109"/>
      <c r="N17" s="109"/>
      <c r="O17" s="109"/>
      <c r="P17" s="110"/>
      <c r="Q17" s="110">
        <f t="shared" si="1"/>
        <v>33125</v>
      </c>
      <c r="R17" s="110">
        <f t="shared" si="2"/>
        <v>0</v>
      </c>
      <c r="S17" s="110">
        <f t="shared" si="3"/>
        <v>-33125</v>
      </c>
      <c r="T17" s="110">
        <f t="shared" si="4"/>
        <v>0</v>
      </c>
      <c r="U17" s="110">
        <f t="shared" si="5"/>
        <v>-33125</v>
      </c>
      <c r="V17" s="110">
        <f t="shared" si="6"/>
        <v>0</v>
      </c>
      <c r="W17" s="110">
        <f t="shared" si="7"/>
        <v>-33125</v>
      </c>
      <c r="X17" s="111" t="str">
        <f t="shared" si="8"/>
        <v/>
      </c>
      <c r="Y17" s="103"/>
      <c r="Z17" s="103"/>
    </row>
    <row r="18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03"/>
      <c r="Z18" s="103"/>
    </row>
    <row r="19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dataValidations>
    <dataValidation type="custom" allowBlank="1" showDropDown="1" sqref="L4:X17">
      <formula1>AND(ISNUMBER(L4),(NOT(OR(NOT(ISERROR(DATEVALUE(L4))), AND(ISNUMBER(L4), LEFT(CELL("format", L4))="D")))))</formula1>
    </dataValidation>
    <dataValidation type="list" allowBlank="1" sqref="A4:A17">
      <formula1>"March 18 - May 17"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3.88"/>
    <col customWidth="1" min="3" max="3" width="14.75"/>
    <col customWidth="1" min="8" max="8" width="12.75"/>
    <col customWidth="1" min="9" max="9" width="8.88"/>
    <col customWidth="1" min="10" max="10" width="10.5"/>
    <col customWidth="1" min="11" max="11" width="13.25"/>
    <col customWidth="1" min="12" max="12" width="12.88"/>
    <col customWidth="1" min="13" max="13" width="9.75"/>
    <col customWidth="1" min="14" max="14" width="16.0"/>
    <col customWidth="1" min="15" max="15" width="14.88"/>
    <col customWidth="1" min="16" max="16" width="17.75"/>
  </cols>
  <sheetData>
    <row r="1">
      <c r="A1" s="114" t="s">
        <v>0</v>
      </c>
      <c r="B1" s="114" t="s">
        <v>140</v>
      </c>
      <c r="C1" s="114" t="s">
        <v>1</v>
      </c>
      <c r="D1" s="114" t="s">
        <v>141</v>
      </c>
      <c r="E1" s="114" t="s">
        <v>142</v>
      </c>
      <c r="F1" s="114" t="s">
        <v>143</v>
      </c>
      <c r="G1" s="114" t="s">
        <v>15</v>
      </c>
      <c r="H1" s="114" t="s">
        <v>144</v>
      </c>
      <c r="I1" s="114" t="s">
        <v>145</v>
      </c>
      <c r="J1" s="115" t="s">
        <v>146</v>
      </c>
      <c r="K1" s="116" t="s">
        <v>147</v>
      </c>
      <c r="L1" s="117" t="s">
        <v>148</v>
      </c>
    </row>
    <row r="2">
      <c r="A2" s="21" t="s">
        <v>45</v>
      </c>
      <c r="B2" s="21" t="s">
        <v>149</v>
      </c>
      <c r="C2" s="5" t="s">
        <v>27</v>
      </c>
      <c r="D2" s="5" t="s">
        <v>150</v>
      </c>
      <c r="E2" s="5" t="s">
        <v>151</v>
      </c>
      <c r="F2" s="5" t="s">
        <v>152</v>
      </c>
      <c r="G2" s="5" t="s">
        <v>152</v>
      </c>
      <c r="H2" s="118" t="s">
        <v>153</v>
      </c>
      <c r="I2" s="118" t="s">
        <v>154</v>
      </c>
      <c r="J2" s="119" t="s">
        <v>155</v>
      </c>
      <c r="K2" s="120">
        <v>300.0</v>
      </c>
      <c r="L2" s="121">
        <v>300.0</v>
      </c>
    </row>
    <row r="3">
      <c r="A3" s="21" t="s">
        <v>28</v>
      </c>
      <c r="B3" s="21" t="s">
        <v>156</v>
      </c>
      <c r="C3" s="5" t="s">
        <v>27</v>
      </c>
      <c r="D3" s="5" t="s">
        <v>157</v>
      </c>
      <c r="E3" s="5" t="s">
        <v>151</v>
      </c>
      <c r="F3" s="5" t="s">
        <v>158</v>
      </c>
      <c r="G3" s="5" t="s">
        <v>158</v>
      </c>
      <c r="H3" s="118" t="s">
        <v>159</v>
      </c>
      <c r="I3" s="118" t="s">
        <v>154</v>
      </c>
      <c r="J3" s="119" t="s">
        <v>155</v>
      </c>
      <c r="K3" s="120">
        <v>600.0</v>
      </c>
      <c r="L3" s="121">
        <v>600.0</v>
      </c>
    </row>
    <row r="4">
      <c r="A4" s="21" t="s">
        <v>28</v>
      </c>
      <c r="B4" s="21" t="s">
        <v>160</v>
      </c>
      <c r="C4" s="5" t="s">
        <v>27</v>
      </c>
      <c r="D4" s="5" t="s">
        <v>161</v>
      </c>
      <c r="E4" s="5" t="s">
        <v>151</v>
      </c>
      <c r="F4" s="5" t="s">
        <v>158</v>
      </c>
      <c r="G4" s="5" t="s">
        <v>158</v>
      </c>
      <c r="H4" s="118" t="s">
        <v>162</v>
      </c>
      <c r="I4" s="118" t="s">
        <v>154</v>
      </c>
      <c r="J4" s="119" t="s">
        <v>155</v>
      </c>
      <c r="K4" s="120">
        <v>600.0</v>
      </c>
      <c r="L4" s="121">
        <v>600.0</v>
      </c>
    </row>
    <row r="5">
      <c r="A5" s="21" t="s">
        <v>50</v>
      </c>
      <c r="B5" s="21" t="s">
        <v>163</v>
      </c>
      <c r="C5" s="5" t="s">
        <v>27</v>
      </c>
      <c r="D5" s="5" t="s">
        <v>164</v>
      </c>
      <c r="E5" s="5" t="s">
        <v>151</v>
      </c>
      <c r="F5" s="5" t="s">
        <v>152</v>
      </c>
      <c r="G5" s="5" t="s">
        <v>152</v>
      </c>
      <c r="H5" s="118" t="s">
        <v>165</v>
      </c>
      <c r="I5" s="118" t="s">
        <v>154</v>
      </c>
      <c r="J5" s="119" t="s">
        <v>155</v>
      </c>
      <c r="K5" s="120">
        <v>300.0</v>
      </c>
      <c r="L5" s="121">
        <v>300.0</v>
      </c>
    </row>
    <row r="6">
      <c r="A6" s="21" t="s">
        <v>50</v>
      </c>
      <c r="B6" s="21" t="s">
        <v>166</v>
      </c>
      <c r="C6" s="5" t="s">
        <v>26</v>
      </c>
      <c r="D6" s="5" t="s">
        <v>167</v>
      </c>
      <c r="E6" s="5" t="s">
        <v>151</v>
      </c>
      <c r="F6" s="5" t="s">
        <v>168</v>
      </c>
      <c r="G6" s="5" t="s">
        <v>168</v>
      </c>
      <c r="H6" s="118" t="s">
        <v>169</v>
      </c>
      <c r="I6" s="118" t="s">
        <v>154</v>
      </c>
      <c r="J6" s="119" t="s">
        <v>170</v>
      </c>
      <c r="K6" s="120">
        <v>197.0</v>
      </c>
      <c r="L6" s="121">
        <v>0.0</v>
      </c>
    </row>
    <row r="7">
      <c r="A7" s="21" t="s">
        <v>58</v>
      </c>
      <c r="B7" s="21" t="s">
        <v>171</v>
      </c>
      <c r="C7" s="5" t="s">
        <v>26</v>
      </c>
      <c r="D7" s="5" t="s">
        <v>172</v>
      </c>
      <c r="E7" s="5" t="s">
        <v>173</v>
      </c>
      <c r="F7" s="5" t="s">
        <v>174</v>
      </c>
      <c r="G7" s="5" t="s">
        <v>174</v>
      </c>
      <c r="H7" s="118" t="s">
        <v>175</v>
      </c>
      <c r="I7" s="118" t="s">
        <v>154</v>
      </c>
      <c r="J7" s="119" t="s">
        <v>155</v>
      </c>
      <c r="K7" s="120">
        <v>97.0</v>
      </c>
      <c r="L7" s="121">
        <v>97.0</v>
      </c>
    </row>
    <row r="8">
      <c r="A8" s="21" t="s">
        <v>58</v>
      </c>
      <c r="B8" s="21" t="s">
        <v>176</v>
      </c>
      <c r="C8" s="5" t="s">
        <v>26</v>
      </c>
      <c r="D8" s="5" t="s">
        <v>177</v>
      </c>
      <c r="E8" s="5" t="s">
        <v>178</v>
      </c>
      <c r="F8" s="5" t="s">
        <v>179</v>
      </c>
      <c r="G8" s="5" t="s">
        <v>180</v>
      </c>
      <c r="H8" s="118" t="s">
        <v>181</v>
      </c>
      <c r="I8" s="118" t="s">
        <v>182</v>
      </c>
      <c r="J8" s="119" t="s">
        <v>155</v>
      </c>
      <c r="K8" s="120">
        <v>197.0</v>
      </c>
      <c r="L8" s="121">
        <v>197.0</v>
      </c>
    </row>
    <row r="9">
      <c r="A9" s="122" t="s">
        <v>65</v>
      </c>
      <c r="B9" s="122" t="s">
        <v>183</v>
      </c>
      <c r="C9" s="123" t="s">
        <v>26</v>
      </c>
      <c r="D9" s="123" t="s">
        <v>184</v>
      </c>
      <c r="E9" s="8" t="s">
        <v>173</v>
      </c>
      <c r="F9" s="5"/>
      <c r="G9" s="5" t="s">
        <v>174</v>
      </c>
      <c r="H9" s="118"/>
      <c r="I9" s="118" t="s">
        <v>185</v>
      </c>
      <c r="J9" s="119" t="s">
        <v>155</v>
      </c>
      <c r="K9" s="120">
        <v>97.0</v>
      </c>
      <c r="L9" s="121">
        <v>97.0</v>
      </c>
    </row>
    <row r="10">
      <c r="A10" s="21" t="s">
        <v>58</v>
      </c>
      <c r="B10" s="21" t="s">
        <v>171</v>
      </c>
      <c r="C10" s="5" t="s">
        <v>25</v>
      </c>
      <c r="D10" s="5" t="s">
        <v>186</v>
      </c>
      <c r="E10" s="5" t="s">
        <v>187</v>
      </c>
      <c r="F10" s="5" t="s">
        <v>188</v>
      </c>
      <c r="G10" s="5" t="s">
        <v>188</v>
      </c>
      <c r="H10" s="118" t="s">
        <v>175</v>
      </c>
      <c r="I10" s="118" t="s">
        <v>154</v>
      </c>
      <c r="J10" s="119" t="s">
        <v>155</v>
      </c>
      <c r="K10" s="120">
        <v>290.0</v>
      </c>
      <c r="L10" s="121">
        <v>290.0</v>
      </c>
    </row>
    <row r="11">
      <c r="A11" s="122" t="s">
        <v>39</v>
      </c>
      <c r="B11" s="122" t="s">
        <v>189</v>
      </c>
      <c r="C11" s="5" t="s">
        <v>25</v>
      </c>
      <c r="D11" s="5" t="s">
        <v>190</v>
      </c>
      <c r="E11" s="5" t="s">
        <v>191</v>
      </c>
      <c r="F11" s="5"/>
      <c r="G11" s="5" t="s">
        <v>192</v>
      </c>
      <c r="H11" s="124"/>
      <c r="I11" s="124" t="s">
        <v>185</v>
      </c>
      <c r="J11" s="119" t="s">
        <v>170</v>
      </c>
      <c r="K11" s="120">
        <v>40.0</v>
      </c>
      <c r="L11" s="121">
        <v>0.0</v>
      </c>
    </row>
    <row r="12">
      <c r="A12" s="21" t="s">
        <v>50</v>
      </c>
      <c r="B12" s="21" t="s">
        <v>163</v>
      </c>
      <c r="C12" s="5" t="s">
        <v>24</v>
      </c>
      <c r="D12" s="5" t="s">
        <v>193</v>
      </c>
      <c r="E12" s="5" t="s">
        <v>194</v>
      </c>
      <c r="F12" s="5" t="s">
        <v>195</v>
      </c>
      <c r="G12" s="5" t="s">
        <v>195</v>
      </c>
      <c r="H12" s="118" t="s">
        <v>165</v>
      </c>
      <c r="I12" s="118" t="s">
        <v>154</v>
      </c>
      <c r="J12" s="119" t="s">
        <v>155</v>
      </c>
      <c r="K12" s="120">
        <v>350.0</v>
      </c>
      <c r="L12" s="121">
        <v>350.0</v>
      </c>
    </row>
    <row r="13">
      <c r="A13" s="122" t="s">
        <v>65</v>
      </c>
      <c r="B13" s="122" t="s">
        <v>196</v>
      </c>
      <c r="C13" s="5" t="s">
        <v>23</v>
      </c>
      <c r="D13" s="5" t="s">
        <v>197</v>
      </c>
      <c r="E13" s="5" t="s">
        <v>187</v>
      </c>
      <c r="F13" s="5"/>
      <c r="G13" s="5" t="s">
        <v>198</v>
      </c>
      <c r="H13" s="124"/>
      <c r="I13" s="124" t="s">
        <v>185</v>
      </c>
      <c r="J13" s="119" t="s">
        <v>155</v>
      </c>
      <c r="K13" s="120">
        <v>225.0</v>
      </c>
      <c r="L13" s="121">
        <v>225.0</v>
      </c>
    </row>
    <row r="14">
      <c r="A14" s="21" t="s">
        <v>58</v>
      </c>
      <c r="B14" s="21" t="s">
        <v>199</v>
      </c>
      <c r="C14" s="5" t="s">
        <v>31</v>
      </c>
      <c r="D14" s="5" t="s">
        <v>200</v>
      </c>
      <c r="E14" s="5" t="s">
        <v>151</v>
      </c>
      <c r="F14" s="5" t="s">
        <v>168</v>
      </c>
      <c r="G14" s="5" t="s">
        <v>168</v>
      </c>
      <c r="H14" s="118" t="s">
        <v>201</v>
      </c>
      <c r="I14" s="118" t="s">
        <v>154</v>
      </c>
      <c r="J14" s="119" t="s">
        <v>170</v>
      </c>
      <c r="K14" s="120">
        <v>197.0</v>
      </c>
      <c r="L14" s="121">
        <v>0.0</v>
      </c>
    </row>
    <row r="15">
      <c r="A15" s="21" t="s">
        <v>50</v>
      </c>
      <c r="B15" s="122" t="s">
        <v>202</v>
      </c>
      <c r="C15" s="5" t="s">
        <v>31</v>
      </c>
      <c r="D15" s="5" t="s">
        <v>203</v>
      </c>
      <c r="E15" s="5" t="s">
        <v>204</v>
      </c>
      <c r="F15" s="5" t="s">
        <v>205</v>
      </c>
      <c r="G15" s="5" t="s">
        <v>179</v>
      </c>
      <c r="H15" s="118" t="s">
        <v>206</v>
      </c>
      <c r="I15" s="118" t="s">
        <v>182</v>
      </c>
      <c r="J15" s="119" t="s">
        <v>170</v>
      </c>
      <c r="K15" s="120">
        <v>0.0</v>
      </c>
      <c r="L15" s="121">
        <v>0.0</v>
      </c>
    </row>
    <row r="16">
      <c r="A16" s="122" t="s">
        <v>39</v>
      </c>
      <c r="B16" s="122" t="s">
        <v>207</v>
      </c>
      <c r="C16" s="8" t="s">
        <v>31</v>
      </c>
      <c r="D16" s="8" t="s">
        <v>208</v>
      </c>
      <c r="E16" s="8" t="s">
        <v>204</v>
      </c>
      <c r="F16" s="5" t="s">
        <v>209</v>
      </c>
      <c r="G16" s="5" t="s">
        <v>210</v>
      </c>
      <c r="H16" s="118" t="s">
        <v>211</v>
      </c>
      <c r="I16" s="118" t="s">
        <v>182</v>
      </c>
      <c r="J16" s="119" t="s">
        <v>155</v>
      </c>
      <c r="K16" s="120">
        <v>450.0</v>
      </c>
      <c r="L16" s="121">
        <v>450.0</v>
      </c>
    </row>
    <row r="17">
      <c r="A17" s="21" t="s">
        <v>58</v>
      </c>
      <c r="B17" s="21" t="s">
        <v>212</v>
      </c>
      <c r="C17" s="5" t="s">
        <v>31</v>
      </c>
      <c r="D17" s="5" t="s">
        <v>213</v>
      </c>
      <c r="E17" s="5" t="s">
        <v>214</v>
      </c>
      <c r="F17" s="5" t="s">
        <v>215</v>
      </c>
      <c r="G17" s="5" t="s">
        <v>215</v>
      </c>
      <c r="H17" s="118" t="s">
        <v>216</v>
      </c>
      <c r="I17" s="118" t="s">
        <v>154</v>
      </c>
      <c r="J17" s="119" t="s">
        <v>155</v>
      </c>
      <c r="K17" s="120">
        <v>299.0</v>
      </c>
      <c r="L17" s="121">
        <v>299.0</v>
      </c>
    </row>
    <row r="18">
      <c r="A18" s="21" t="s">
        <v>65</v>
      </c>
      <c r="B18" s="21" t="s">
        <v>217</v>
      </c>
      <c r="C18" s="5" t="s">
        <v>31</v>
      </c>
      <c r="D18" s="5" t="s">
        <v>218</v>
      </c>
      <c r="E18" s="5" t="s">
        <v>204</v>
      </c>
      <c r="F18" s="5"/>
      <c r="G18" s="5" t="s">
        <v>205</v>
      </c>
      <c r="H18" s="118"/>
      <c r="I18" s="118" t="s">
        <v>185</v>
      </c>
      <c r="J18" s="119" t="s">
        <v>170</v>
      </c>
      <c r="K18" s="120">
        <v>149.0</v>
      </c>
      <c r="L18" s="121">
        <v>0.0</v>
      </c>
    </row>
    <row r="19">
      <c r="A19" s="21" t="s">
        <v>58</v>
      </c>
      <c r="B19" s="21" t="s">
        <v>176</v>
      </c>
      <c r="C19" s="5" t="s">
        <v>31</v>
      </c>
      <c r="D19" s="5" t="s">
        <v>219</v>
      </c>
      <c r="E19" s="5" t="s">
        <v>204</v>
      </c>
      <c r="F19" s="5" t="s">
        <v>220</v>
      </c>
      <c r="G19" s="5" t="s">
        <v>220</v>
      </c>
      <c r="H19" s="118" t="s">
        <v>181</v>
      </c>
      <c r="I19" s="118" t="s">
        <v>154</v>
      </c>
      <c r="J19" s="119" t="s">
        <v>155</v>
      </c>
      <c r="K19" s="120">
        <v>149.0</v>
      </c>
      <c r="L19" s="121">
        <v>149.0</v>
      </c>
    </row>
    <row r="20">
      <c r="A20" s="122" t="s">
        <v>58</v>
      </c>
      <c r="B20" s="122" t="s">
        <v>176</v>
      </c>
      <c r="C20" s="5" t="s">
        <v>31</v>
      </c>
      <c r="D20" s="5" t="s">
        <v>221</v>
      </c>
      <c r="E20" s="5" t="s">
        <v>204</v>
      </c>
      <c r="F20" s="5" t="s">
        <v>220</v>
      </c>
      <c r="G20" s="5" t="s">
        <v>220</v>
      </c>
      <c r="H20" s="124" t="s">
        <v>181</v>
      </c>
      <c r="I20" s="124" t="s">
        <v>154</v>
      </c>
      <c r="J20" s="119" t="s">
        <v>155</v>
      </c>
      <c r="K20" s="120">
        <v>149.0</v>
      </c>
      <c r="L20" s="121">
        <v>149.0</v>
      </c>
    </row>
    <row r="21">
      <c r="A21" s="122" t="s">
        <v>50</v>
      </c>
      <c r="B21" s="122" t="s">
        <v>202</v>
      </c>
      <c r="C21" s="5" t="s">
        <v>31</v>
      </c>
      <c r="D21" s="5" t="s">
        <v>222</v>
      </c>
      <c r="E21" s="5" t="s">
        <v>223</v>
      </c>
      <c r="F21" s="5" t="s">
        <v>215</v>
      </c>
      <c r="G21" s="5" t="s">
        <v>215</v>
      </c>
      <c r="H21" s="124" t="s">
        <v>206</v>
      </c>
      <c r="I21" s="124" t="s">
        <v>154</v>
      </c>
      <c r="J21" s="119" t="s">
        <v>155</v>
      </c>
      <c r="K21" s="120">
        <v>299.0</v>
      </c>
      <c r="L21" s="121">
        <v>299.0</v>
      </c>
    </row>
    <row r="22">
      <c r="A22" s="122" t="s">
        <v>39</v>
      </c>
      <c r="B22" s="122" t="s">
        <v>189</v>
      </c>
      <c r="C22" s="5" t="s">
        <v>31</v>
      </c>
      <c r="D22" s="5" t="s">
        <v>224</v>
      </c>
      <c r="E22" s="5" t="s">
        <v>204</v>
      </c>
      <c r="F22" s="5"/>
      <c r="G22" s="5" t="s">
        <v>220</v>
      </c>
      <c r="H22" s="124"/>
      <c r="I22" s="124" t="s">
        <v>185</v>
      </c>
      <c r="J22" s="119" t="s">
        <v>155</v>
      </c>
      <c r="K22" s="120">
        <v>149.0</v>
      </c>
      <c r="L22" s="121">
        <v>149.0</v>
      </c>
    </row>
    <row r="23">
      <c r="A23" s="122" t="s">
        <v>36</v>
      </c>
      <c r="B23" s="122" t="s">
        <v>225</v>
      </c>
      <c r="C23" s="5" t="s">
        <v>31</v>
      </c>
      <c r="D23" s="5" t="s">
        <v>226</v>
      </c>
      <c r="E23" s="5" t="s">
        <v>204</v>
      </c>
      <c r="F23" s="5" t="s">
        <v>210</v>
      </c>
      <c r="G23" s="5" t="s">
        <v>210</v>
      </c>
      <c r="H23" s="124" t="s">
        <v>227</v>
      </c>
      <c r="I23" s="124" t="s">
        <v>154</v>
      </c>
      <c r="J23" s="119" t="s">
        <v>155</v>
      </c>
      <c r="K23" s="120">
        <v>450.0</v>
      </c>
      <c r="L23" s="121">
        <v>450.0</v>
      </c>
    </row>
    <row r="24" ht="21.0" customHeight="1">
      <c r="A24" s="21" t="s">
        <v>50</v>
      </c>
      <c r="B24" s="21" t="s">
        <v>228</v>
      </c>
      <c r="C24" s="5" t="s">
        <v>22</v>
      </c>
      <c r="D24" s="5" t="s">
        <v>229</v>
      </c>
      <c r="E24" s="5" t="s">
        <v>230</v>
      </c>
      <c r="F24" s="5" t="s">
        <v>215</v>
      </c>
      <c r="G24" s="5" t="s">
        <v>215</v>
      </c>
      <c r="H24" s="118" t="s">
        <v>231</v>
      </c>
      <c r="I24" s="118" t="s">
        <v>154</v>
      </c>
      <c r="J24" s="119" t="s">
        <v>155</v>
      </c>
      <c r="K24" s="120">
        <v>299.0</v>
      </c>
      <c r="L24" s="121">
        <v>299.0</v>
      </c>
    </row>
    <row r="25">
      <c r="A25" s="21" t="s">
        <v>39</v>
      </c>
      <c r="B25" s="122" t="s">
        <v>189</v>
      </c>
      <c r="C25" s="123" t="s">
        <v>22</v>
      </c>
      <c r="D25" s="123" t="s">
        <v>232</v>
      </c>
      <c r="E25" s="8" t="s">
        <v>230</v>
      </c>
      <c r="F25" s="5" t="s">
        <v>158</v>
      </c>
      <c r="G25" s="5" t="s">
        <v>158</v>
      </c>
      <c r="H25" s="118" t="s">
        <v>233</v>
      </c>
      <c r="I25" s="118" t="s">
        <v>154</v>
      </c>
      <c r="J25" s="119" t="s">
        <v>155</v>
      </c>
      <c r="K25" s="120">
        <v>600.0</v>
      </c>
      <c r="L25" s="121">
        <v>600.0</v>
      </c>
    </row>
    <row r="26">
      <c r="A26" s="21" t="s">
        <v>50</v>
      </c>
      <c r="B26" s="21" t="s">
        <v>234</v>
      </c>
      <c r="C26" s="5" t="s">
        <v>22</v>
      </c>
      <c r="D26" s="5" t="s">
        <v>235</v>
      </c>
      <c r="E26" s="5" t="s">
        <v>236</v>
      </c>
      <c r="F26" s="5" t="s">
        <v>237</v>
      </c>
      <c r="G26" s="5" t="s">
        <v>237</v>
      </c>
      <c r="H26" s="118" t="s">
        <v>238</v>
      </c>
      <c r="I26" s="118" t="s">
        <v>154</v>
      </c>
      <c r="J26" s="119" t="s">
        <v>155</v>
      </c>
      <c r="K26" s="120">
        <v>150.0</v>
      </c>
      <c r="L26" s="121">
        <v>150.0</v>
      </c>
    </row>
    <row r="27">
      <c r="A27" s="21" t="s">
        <v>33</v>
      </c>
      <c r="B27" s="21" t="s">
        <v>239</v>
      </c>
      <c r="C27" s="5" t="s">
        <v>21</v>
      </c>
      <c r="D27" s="5" t="s">
        <v>240</v>
      </c>
      <c r="E27" s="5" t="s">
        <v>236</v>
      </c>
      <c r="F27" s="5" t="s">
        <v>241</v>
      </c>
      <c r="G27" s="5" t="s">
        <v>241</v>
      </c>
      <c r="H27" s="118" t="s">
        <v>242</v>
      </c>
      <c r="I27" s="118" t="s">
        <v>154</v>
      </c>
      <c r="J27" s="119" t="s">
        <v>155</v>
      </c>
      <c r="K27" s="120">
        <v>250.0</v>
      </c>
      <c r="L27" s="121">
        <v>250.0</v>
      </c>
    </row>
    <row r="28">
      <c r="A28" s="122" t="s">
        <v>33</v>
      </c>
      <c r="B28" s="122" t="s">
        <v>243</v>
      </c>
      <c r="C28" s="123" t="s">
        <v>21</v>
      </c>
      <c r="D28" s="123" t="s">
        <v>244</v>
      </c>
      <c r="E28" s="8" t="s">
        <v>245</v>
      </c>
      <c r="F28" s="5" t="s">
        <v>246</v>
      </c>
      <c r="G28" s="5" t="s">
        <v>246</v>
      </c>
      <c r="H28" s="118" t="s">
        <v>247</v>
      </c>
      <c r="I28" s="118" t="s">
        <v>154</v>
      </c>
      <c r="J28" s="119" t="s">
        <v>155</v>
      </c>
      <c r="K28" s="120">
        <v>500.0</v>
      </c>
      <c r="L28" s="121">
        <v>500.0</v>
      </c>
    </row>
    <row r="29">
      <c r="A29" s="21" t="s">
        <v>45</v>
      </c>
      <c r="B29" s="21" t="s">
        <v>149</v>
      </c>
      <c r="C29" s="5" t="s">
        <v>21</v>
      </c>
      <c r="D29" s="5" t="s">
        <v>248</v>
      </c>
      <c r="E29" s="5" t="s">
        <v>249</v>
      </c>
      <c r="F29" s="5" t="s">
        <v>241</v>
      </c>
      <c r="G29" s="5" t="s">
        <v>241</v>
      </c>
      <c r="H29" s="118" t="s">
        <v>153</v>
      </c>
      <c r="I29" s="118" t="s">
        <v>154</v>
      </c>
      <c r="J29" s="119" t="s">
        <v>155</v>
      </c>
      <c r="K29" s="120">
        <v>250.0</v>
      </c>
      <c r="L29" s="121">
        <v>250.0</v>
      </c>
    </row>
    <row r="30">
      <c r="A30" s="21" t="s">
        <v>50</v>
      </c>
      <c r="B30" s="21" t="s">
        <v>163</v>
      </c>
      <c r="C30" s="5" t="s">
        <v>21</v>
      </c>
      <c r="D30" s="5" t="s">
        <v>250</v>
      </c>
      <c r="E30" s="5" t="s">
        <v>249</v>
      </c>
      <c r="F30" s="5" t="s">
        <v>241</v>
      </c>
      <c r="G30" s="5" t="s">
        <v>241</v>
      </c>
      <c r="H30" s="118" t="s">
        <v>165</v>
      </c>
      <c r="I30" s="118" t="s">
        <v>154</v>
      </c>
      <c r="J30" s="119" t="s">
        <v>155</v>
      </c>
      <c r="K30" s="120">
        <v>250.0</v>
      </c>
      <c r="L30" s="121">
        <v>250.0</v>
      </c>
    </row>
    <row r="31">
      <c r="A31" s="122" t="s">
        <v>58</v>
      </c>
      <c r="B31" s="122" t="s">
        <v>171</v>
      </c>
      <c r="C31" s="5" t="s">
        <v>20</v>
      </c>
      <c r="D31" s="5" t="s">
        <v>251</v>
      </c>
      <c r="E31" s="5" t="s">
        <v>252</v>
      </c>
      <c r="F31" s="5" t="s">
        <v>253</v>
      </c>
      <c r="G31" s="5" t="s">
        <v>253</v>
      </c>
      <c r="H31" s="124" t="s">
        <v>175</v>
      </c>
      <c r="I31" s="124" t="s">
        <v>154</v>
      </c>
      <c r="J31" s="119" t="s">
        <v>170</v>
      </c>
      <c r="K31" s="120">
        <v>1000.0</v>
      </c>
      <c r="L31" s="121">
        <v>0.0</v>
      </c>
    </row>
    <row r="32">
      <c r="A32" s="21" t="s">
        <v>36</v>
      </c>
      <c r="B32" s="21" t="s">
        <v>225</v>
      </c>
      <c r="C32" s="5" t="s">
        <v>19</v>
      </c>
      <c r="D32" s="5" t="s">
        <v>254</v>
      </c>
      <c r="E32" s="5" t="s">
        <v>255</v>
      </c>
      <c r="F32" s="5" t="s">
        <v>256</v>
      </c>
      <c r="G32" s="5" t="s">
        <v>256</v>
      </c>
      <c r="H32" s="118" t="s">
        <v>227</v>
      </c>
      <c r="I32" s="118" t="s">
        <v>154</v>
      </c>
      <c r="J32" s="119" t="s">
        <v>155</v>
      </c>
      <c r="K32" s="120">
        <v>400.0</v>
      </c>
      <c r="L32" s="121">
        <v>200.0</v>
      </c>
    </row>
    <row r="33">
      <c r="A33" s="21" t="s">
        <v>58</v>
      </c>
      <c r="B33" s="122" t="s">
        <v>257</v>
      </c>
      <c r="C33" s="5" t="s">
        <v>19</v>
      </c>
      <c r="D33" s="5" t="s">
        <v>258</v>
      </c>
      <c r="E33" s="5" t="s">
        <v>255</v>
      </c>
      <c r="F33" s="5" t="s">
        <v>259</v>
      </c>
      <c r="G33" s="5" t="s">
        <v>259</v>
      </c>
      <c r="H33" s="118" t="s">
        <v>260</v>
      </c>
      <c r="I33" s="118" t="s">
        <v>154</v>
      </c>
      <c r="J33" s="119" t="s">
        <v>170</v>
      </c>
      <c r="K33" s="120">
        <v>300.0</v>
      </c>
      <c r="L33" s="121">
        <v>0.0</v>
      </c>
    </row>
    <row r="34">
      <c r="A34" s="122" t="s">
        <v>39</v>
      </c>
      <c r="B34" s="122" t="s">
        <v>261</v>
      </c>
      <c r="C34" s="5" t="s">
        <v>19</v>
      </c>
      <c r="D34" s="5" t="s">
        <v>262</v>
      </c>
      <c r="E34" s="5" t="s">
        <v>263</v>
      </c>
      <c r="F34" s="5" t="s">
        <v>237</v>
      </c>
      <c r="G34" s="5" t="s">
        <v>237</v>
      </c>
      <c r="H34" s="124" t="s">
        <v>264</v>
      </c>
      <c r="I34" s="124" t="s">
        <v>154</v>
      </c>
      <c r="J34" s="119" t="s">
        <v>155</v>
      </c>
      <c r="K34" s="120">
        <v>150.0</v>
      </c>
      <c r="L34" s="121">
        <v>150.0</v>
      </c>
    </row>
    <row r="35">
      <c r="A35" s="21" t="s">
        <v>39</v>
      </c>
      <c r="B35" s="21" t="s">
        <v>207</v>
      </c>
      <c r="C35" s="5" t="s">
        <v>18</v>
      </c>
      <c r="D35" s="5" t="s">
        <v>265</v>
      </c>
      <c r="E35" s="5" t="s">
        <v>266</v>
      </c>
      <c r="F35" s="5" t="s">
        <v>180</v>
      </c>
      <c r="G35" s="5" t="s">
        <v>267</v>
      </c>
      <c r="H35" s="118" t="s">
        <v>211</v>
      </c>
      <c r="I35" s="118" t="s">
        <v>182</v>
      </c>
      <c r="J35" s="119" t="s">
        <v>155</v>
      </c>
      <c r="K35" s="120">
        <v>394.0</v>
      </c>
      <c r="L35" s="121">
        <v>197.0</v>
      </c>
      <c r="M35" s="31"/>
    </row>
    <row r="36">
      <c r="A36" s="21" t="s">
        <v>45</v>
      </c>
      <c r="B36" s="21" t="s">
        <v>268</v>
      </c>
      <c r="C36" s="5" t="s">
        <v>18</v>
      </c>
      <c r="D36" s="5" t="s">
        <v>269</v>
      </c>
      <c r="E36" s="5" t="s">
        <v>266</v>
      </c>
      <c r="F36" s="5" t="s">
        <v>180</v>
      </c>
      <c r="G36" s="5" t="s">
        <v>180</v>
      </c>
      <c r="H36" s="118" t="s">
        <v>270</v>
      </c>
      <c r="I36" s="118" t="s">
        <v>154</v>
      </c>
      <c r="J36" s="119" t="s">
        <v>155</v>
      </c>
      <c r="K36" s="120">
        <v>197.0</v>
      </c>
      <c r="L36" s="121">
        <v>197.0</v>
      </c>
      <c r="M36" s="31"/>
    </row>
    <row r="37">
      <c r="A37" s="122" t="s">
        <v>36</v>
      </c>
      <c r="B37" s="122" t="s">
        <v>271</v>
      </c>
      <c r="C37" s="123" t="s">
        <v>18</v>
      </c>
      <c r="D37" s="123" t="s">
        <v>272</v>
      </c>
      <c r="E37" s="8" t="s">
        <v>266</v>
      </c>
      <c r="F37" s="5" t="s">
        <v>267</v>
      </c>
      <c r="G37" s="5" t="s">
        <v>273</v>
      </c>
      <c r="H37" s="118" t="s">
        <v>274</v>
      </c>
      <c r="I37" s="118" t="s">
        <v>275</v>
      </c>
      <c r="J37" s="119" t="s">
        <v>155</v>
      </c>
      <c r="K37" s="120">
        <v>394.0</v>
      </c>
      <c r="L37" s="121">
        <v>394.0</v>
      </c>
      <c r="M37" s="31"/>
    </row>
    <row r="38">
      <c r="A38" s="122" t="s">
        <v>50</v>
      </c>
      <c r="B38" s="122" t="s">
        <v>276</v>
      </c>
      <c r="C38" s="123" t="s">
        <v>18</v>
      </c>
      <c r="D38" s="123" t="s">
        <v>277</v>
      </c>
      <c r="E38" s="8" t="s">
        <v>266</v>
      </c>
      <c r="F38" s="5" t="s">
        <v>180</v>
      </c>
      <c r="G38" s="5" t="s">
        <v>180</v>
      </c>
      <c r="H38" s="118" t="s">
        <v>278</v>
      </c>
      <c r="I38" s="118" t="s">
        <v>154</v>
      </c>
      <c r="J38" s="119" t="s">
        <v>155</v>
      </c>
      <c r="K38" s="120">
        <v>197.0</v>
      </c>
      <c r="L38" s="121">
        <v>197.0</v>
      </c>
      <c r="M38" s="31"/>
    </row>
    <row r="39">
      <c r="A39" s="21" t="s">
        <v>58</v>
      </c>
      <c r="B39" s="21" t="s">
        <v>212</v>
      </c>
      <c r="C39" s="5" t="s">
        <v>18</v>
      </c>
      <c r="D39" s="5" t="s">
        <v>279</v>
      </c>
      <c r="E39" s="5" t="s">
        <v>266</v>
      </c>
      <c r="F39" s="5" t="s">
        <v>180</v>
      </c>
      <c r="G39" s="5" t="s">
        <v>180</v>
      </c>
      <c r="H39" s="118" t="s">
        <v>216</v>
      </c>
      <c r="I39" s="118" t="s">
        <v>154</v>
      </c>
      <c r="J39" s="119" t="s">
        <v>155</v>
      </c>
      <c r="K39" s="120">
        <v>197.0</v>
      </c>
      <c r="L39" s="121">
        <v>197.0</v>
      </c>
      <c r="M39" s="31"/>
    </row>
    <row r="40">
      <c r="A40" s="21" t="s">
        <v>36</v>
      </c>
      <c r="B40" s="21" t="s">
        <v>280</v>
      </c>
      <c r="C40" s="5" t="s">
        <v>18</v>
      </c>
      <c r="D40" s="5" t="s">
        <v>281</v>
      </c>
      <c r="E40" s="5" t="s">
        <v>266</v>
      </c>
      <c r="F40" s="5" t="s">
        <v>273</v>
      </c>
      <c r="G40" s="5" t="s">
        <v>273</v>
      </c>
      <c r="H40" s="118" t="s">
        <v>282</v>
      </c>
      <c r="I40" s="118" t="s">
        <v>154</v>
      </c>
      <c r="J40" s="119" t="s">
        <v>155</v>
      </c>
      <c r="K40" s="120">
        <v>394.0</v>
      </c>
      <c r="L40" s="121">
        <v>394.0</v>
      </c>
      <c r="M40" s="31"/>
    </row>
    <row r="41">
      <c r="A41" s="21" t="s">
        <v>58</v>
      </c>
      <c r="B41" s="21" t="s">
        <v>257</v>
      </c>
      <c r="C41" s="5" t="s">
        <v>18</v>
      </c>
      <c r="D41" s="5" t="s">
        <v>283</v>
      </c>
      <c r="E41" s="5" t="s">
        <v>266</v>
      </c>
      <c r="F41" s="5" t="s">
        <v>168</v>
      </c>
      <c r="G41" s="5" t="s">
        <v>168</v>
      </c>
      <c r="H41" s="118" t="s">
        <v>260</v>
      </c>
      <c r="I41" s="118" t="s">
        <v>154</v>
      </c>
      <c r="J41" s="119" t="s">
        <v>170</v>
      </c>
      <c r="K41" s="120">
        <v>197.0</v>
      </c>
      <c r="L41" s="121">
        <v>0.0</v>
      </c>
      <c r="M41" s="31"/>
      <c r="N41" s="125"/>
    </row>
    <row r="42">
      <c r="A42" s="21" t="s">
        <v>36</v>
      </c>
      <c r="B42" s="21" t="s">
        <v>280</v>
      </c>
      <c r="C42" s="5" t="s">
        <v>18</v>
      </c>
      <c r="D42" s="5" t="s">
        <v>284</v>
      </c>
      <c r="E42" s="5" t="s">
        <v>266</v>
      </c>
      <c r="F42" s="5" t="s">
        <v>273</v>
      </c>
      <c r="G42" s="5" t="s">
        <v>273</v>
      </c>
      <c r="H42" s="118" t="s">
        <v>282</v>
      </c>
      <c r="I42" s="118" t="s">
        <v>154</v>
      </c>
      <c r="J42" s="119" t="s">
        <v>155</v>
      </c>
      <c r="K42" s="120">
        <v>394.0</v>
      </c>
      <c r="L42" s="121">
        <v>394.0</v>
      </c>
      <c r="M42" s="31"/>
      <c r="N42" s="125"/>
    </row>
    <row r="43">
      <c r="A43" s="122" t="s">
        <v>58</v>
      </c>
      <c r="B43" s="122" t="s">
        <v>212</v>
      </c>
      <c r="C43" s="5" t="s">
        <v>18</v>
      </c>
      <c r="D43" s="5" t="s">
        <v>285</v>
      </c>
      <c r="E43" s="5" t="s">
        <v>266</v>
      </c>
      <c r="F43" s="5" t="s">
        <v>180</v>
      </c>
      <c r="G43" s="5" t="s">
        <v>180</v>
      </c>
      <c r="H43" s="124" t="s">
        <v>216</v>
      </c>
      <c r="I43" s="124" t="s">
        <v>154</v>
      </c>
      <c r="J43" s="119" t="s">
        <v>155</v>
      </c>
      <c r="K43" s="120">
        <v>197.0</v>
      </c>
      <c r="L43" s="121">
        <v>197.0</v>
      </c>
      <c r="M43" s="31"/>
      <c r="N43" s="125"/>
    </row>
    <row r="44">
      <c r="A44" s="122" t="s">
        <v>28</v>
      </c>
      <c r="B44" s="122" t="s">
        <v>156</v>
      </c>
      <c r="C44" s="5" t="s">
        <v>18</v>
      </c>
      <c r="D44" s="5" t="s">
        <v>286</v>
      </c>
      <c r="E44" s="5" t="s">
        <v>266</v>
      </c>
      <c r="F44" s="5" t="s">
        <v>273</v>
      </c>
      <c r="G44" s="5" t="s">
        <v>273</v>
      </c>
      <c r="H44" s="124" t="s">
        <v>159</v>
      </c>
      <c r="I44" s="124" t="s">
        <v>154</v>
      </c>
      <c r="J44" s="119" t="s">
        <v>155</v>
      </c>
      <c r="K44" s="120">
        <v>394.0</v>
      </c>
      <c r="L44" s="121">
        <v>394.0</v>
      </c>
      <c r="M44" s="31"/>
      <c r="N44" s="125"/>
    </row>
    <row r="45">
      <c r="A45" s="122" t="s">
        <v>28</v>
      </c>
      <c r="B45" s="122" t="s">
        <v>287</v>
      </c>
      <c r="C45" s="5" t="s">
        <v>18</v>
      </c>
      <c r="D45" s="5" t="s">
        <v>288</v>
      </c>
      <c r="E45" s="5" t="s">
        <v>266</v>
      </c>
      <c r="F45" s="5" t="s">
        <v>273</v>
      </c>
      <c r="G45" s="5" t="s">
        <v>273</v>
      </c>
      <c r="H45" s="124" t="s">
        <v>289</v>
      </c>
      <c r="I45" s="124" t="s">
        <v>154</v>
      </c>
      <c r="J45" s="119" t="s">
        <v>155</v>
      </c>
      <c r="K45" s="120">
        <v>394.0</v>
      </c>
      <c r="L45" s="121">
        <v>394.0</v>
      </c>
      <c r="M45" s="31"/>
      <c r="N45" s="125"/>
    </row>
    <row r="46">
      <c r="A46" s="31"/>
      <c r="B46" s="31"/>
      <c r="C46" s="31"/>
      <c r="D46" s="31"/>
      <c r="E46" s="31"/>
      <c r="F46" s="31"/>
      <c r="J46" s="31"/>
      <c r="K46" s="31"/>
      <c r="L46" s="31"/>
      <c r="M46" s="31"/>
      <c r="N46" s="31"/>
      <c r="O46" s="31"/>
      <c r="P46" s="31"/>
      <c r="Q46" s="126"/>
    </row>
    <row r="47">
      <c r="A47" s="31"/>
      <c r="B47" s="31"/>
      <c r="C47" s="31"/>
      <c r="D47" s="31"/>
      <c r="E47" s="31"/>
      <c r="F47" s="31"/>
      <c r="J47" s="31"/>
      <c r="K47" s="31"/>
      <c r="L47" s="31"/>
      <c r="M47" s="31"/>
      <c r="N47" s="31"/>
      <c r="O47" s="31"/>
      <c r="P47" s="31"/>
    </row>
    <row r="48">
      <c r="A48" s="31"/>
      <c r="B48" s="31"/>
      <c r="C48" s="31"/>
      <c r="D48" s="31"/>
      <c r="E48" s="31"/>
      <c r="F48" s="31"/>
      <c r="J48" s="31"/>
      <c r="K48" s="31"/>
      <c r="L48" s="31"/>
      <c r="M48" s="31"/>
      <c r="N48" s="31"/>
      <c r="O48" s="31"/>
      <c r="P48" s="31"/>
    </row>
    <row r="49">
      <c r="A49" s="31"/>
      <c r="B49" s="31"/>
      <c r="C49" s="31"/>
      <c r="D49" s="31"/>
      <c r="E49" s="31"/>
      <c r="F49" s="31"/>
      <c r="J49" s="31"/>
      <c r="K49" s="31"/>
      <c r="L49" s="31"/>
      <c r="M49" s="31"/>
      <c r="N49" s="31"/>
      <c r="O49" s="31"/>
      <c r="P49" s="31"/>
    </row>
    <row r="50">
      <c r="J50" s="31"/>
      <c r="K50" s="31"/>
      <c r="L50" s="31"/>
      <c r="M50" s="31"/>
      <c r="N50" s="31"/>
      <c r="O50" s="31"/>
      <c r="P50" s="31"/>
    </row>
    <row r="51">
      <c r="J51" s="31"/>
      <c r="K51" s="31"/>
      <c r="L51" s="31"/>
      <c r="M51" s="31"/>
      <c r="N51" s="31"/>
      <c r="O51" s="31"/>
      <c r="P51" s="31"/>
    </row>
    <row r="52">
      <c r="J52" s="31"/>
      <c r="K52" s="31"/>
      <c r="L52" s="31"/>
      <c r="M52" s="31"/>
      <c r="N52" s="31"/>
      <c r="O52" s="31"/>
      <c r="P52" s="31"/>
    </row>
    <row r="53">
      <c r="A53" s="31"/>
      <c r="B53" s="31"/>
      <c r="C53" s="31"/>
      <c r="D53" s="31"/>
      <c r="E53" s="31"/>
      <c r="F53" s="31"/>
      <c r="G53" s="31"/>
      <c r="H53" s="31"/>
      <c r="I53" s="31"/>
    </row>
    <row r="54">
      <c r="A54" s="31"/>
      <c r="B54" s="31"/>
      <c r="C54" s="31"/>
      <c r="D54" s="31"/>
      <c r="E54" s="31"/>
      <c r="F54" s="31"/>
      <c r="G54" s="31"/>
      <c r="H54" s="31"/>
      <c r="I54" s="31"/>
    </row>
    <row r="55">
      <c r="A55" s="31"/>
      <c r="B55" s="31"/>
      <c r="C55" s="31"/>
      <c r="D55" s="31"/>
      <c r="E55" s="31"/>
      <c r="F55" s="31"/>
      <c r="G55" s="31"/>
      <c r="H55" s="31"/>
      <c r="I55" s="31"/>
    </row>
    <row r="56">
      <c r="A56" s="31"/>
      <c r="B56" s="31"/>
      <c r="C56" s="31"/>
      <c r="D56" s="31"/>
      <c r="E56" s="31"/>
      <c r="F56" s="31"/>
      <c r="G56" s="31"/>
      <c r="H56" s="31"/>
      <c r="I56" s="31"/>
    </row>
  </sheetData>
  <dataValidations>
    <dataValidation type="list" allowBlank="1" showDropDown="1" showErrorMessage="1" sqref="B2:B45">
      <formula1>"April 1 - April 30,March 18 - March 31"</formula1>
    </dataValidation>
    <dataValidation type="custom" allowBlank="1" showDropDown="1" sqref="H2:I45">
      <formula1>AND(ISNUMBER(H2),(NOT(OR(NOT(ISERROR(DATEVALUE(H2))), AND(ISNUMBER(H2), LEFT(CELL("format", H2))="D")))))</formula1>
    </dataValidation>
    <dataValidation type="list" allowBlank="1" showDropDown="1" showErrorMessage="1" sqref="J2:J45">
      <formula1>"Paid,Unpaid"</formula1>
    </dataValidation>
    <dataValidation type="list" allowBlank="1" showDropDown="1" showErrorMessage="1" sqref="A2:A45">
      <formula1>"April 20 - April 26,March 23 - March 29,April 27 - May 3,March 30 - April 5,April 13 - April 19,April 6 - April 12"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0.5"/>
    <col customWidth="1" min="3" max="3" width="11.38"/>
    <col customWidth="1" min="4" max="4" width="10.63"/>
    <col customWidth="1" min="5" max="5" width="12.75"/>
    <col customWidth="1" min="6" max="6" width="8.13"/>
    <col customWidth="1" min="7" max="7" width="9.38"/>
    <col customWidth="1" min="8" max="8" width="10.75"/>
    <col customWidth="1" min="10" max="10" width="7.88"/>
    <col customWidth="1" min="11" max="11" width="9.13"/>
  </cols>
  <sheetData>
    <row r="1" ht="22.5" customHeight="1">
      <c r="A1" s="127" t="s">
        <v>0</v>
      </c>
      <c r="B1" s="127" t="s">
        <v>1</v>
      </c>
      <c r="C1" s="127" t="s">
        <v>2</v>
      </c>
      <c r="D1" s="127" t="s">
        <v>3</v>
      </c>
      <c r="E1" s="127" t="s">
        <v>122</v>
      </c>
      <c r="F1" s="127" t="s">
        <v>5</v>
      </c>
      <c r="G1" s="127" t="s">
        <v>6</v>
      </c>
      <c r="H1" s="127" t="s">
        <v>7</v>
      </c>
      <c r="I1" s="127" t="s">
        <v>8</v>
      </c>
      <c r="J1" s="127" t="s">
        <v>9</v>
      </c>
      <c r="K1" s="127" t="s">
        <v>10</v>
      </c>
      <c r="L1" s="127" t="s">
        <v>11</v>
      </c>
      <c r="M1" s="127" t="s">
        <v>12</v>
      </c>
      <c r="N1" s="127" t="s">
        <v>13</v>
      </c>
      <c r="O1" s="127" t="s">
        <v>14</v>
      </c>
      <c r="P1" s="127" t="s">
        <v>15</v>
      </c>
    </row>
    <row r="2" ht="22.5" customHeight="1">
      <c r="A2" s="128" t="s">
        <v>58</v>
      </c>
      <c r="B2" s="128" t="s">
        <v>31</v>
      </c>
      <c r="C2" s="128">
        <v>67.0</v>
      </c>
      <c r="D2" s="128">
        <v>5.0</v>
      </c>
      <c r="E2" s="128">
        <v>0.0</v>
      </c>
      <c r="F2" s="128">
        <v>0.0</v>
      </c>
      <c r="G2" s="128">
        <v>0.0</v>
      </c>
      <c r="H2" s="128">
        <v>5.0</v>
      </c>
      <c r="I2" s="128">
        <v>2.0</v>
      </c>
      <c r="J2" s="128">
        <v>1.0</v>
      </c>
      <c r="K2" s="128">
        <v>1.0</v>
      </c>
      <c r="L2" s="129">
        <v>0.07462686567164178</v>
      </c>
      <c r="M2" s="129">
        <v>0.07462686567164178</v>
      </c>
      <c r="N2" s="129">
        <v>0.01492537313432836</v>
      </c>
      <c r="O2" s="129">
        <v>0.2</v>
      </c>
      <c r="P2" s="128" t="s">
        <v>290</v>
      </c>
    </row>
    <row r="3" ht="22.5" customHeight="1">
      <c r="A3" s="128" t="s">
        <v>65</v>
      </c>
      <c r="B3" s="128" t="s">
        <v>31</v>
      </c>
      <c r="C3" s="128">
        <v>1.0</v>
      </c>
      <c r="D3" s="128">
        <v>8.0</v>
      </c>
      <c r="E3" s="128">
        <v>1.0</v>
      </c>
      <c r="F3" s="128">
        <v>3.0</v>
      </c>
      <c r="G3" s="128">
        <v>0.0</v>
      </c>
      <c r="H3" s="128">
        <v>5.0</v>
      </c>
      <c r="I3" s="128">
        <v>0.0</v>
      </c>
      <c r="J3" s="128">
        <v>0.0</v>
      </c>
      <c r="K3" s="128">
        <v>0.0</v>
      </c>
      <c r="L3" s="129">
        <f> C3/D3</f>
        <v>0.125</v>
      </c>
      <c r="M3" s="129">
        <f>H3/(C3+C2)</f>
        <v>0.07352941176</v>
      </c>
      <c r="N3" s="129">
        <v>0.0</v>
      </c>
      <c r="O3" s="129">
        <v>0.0</v>
      </c>
      <c r="P3" s="128"/>
    </row>
    <row r="4" ht="22.5" customHeight="1">
      <c r="A4" s="130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132"/>
      <c r="N4" s="131"/>
      <c r="O4" s="131"/>
      <c r="P4" s="130"/>
    </row>
    <row r="8">
      <c r="A8" s="31"/>
      <c r="B8" s="31"/>
      <c r="C8" s="31"/>
      <c r="D8" s="31"/>
      <c r="E8" s="31"/>
      <c r="F8" s="31"/>
      <c r="G8" s="31"/>
    </row>
    <row r="9">
      <c r="A9" s="31"/>
      <c r="B9" s="31"/>
      <c r="C9" s="31"/>
      <c r="D9" s="31"/>
      <c r="E9" s="31"/>
      <c r="F9" s="31"/>
      <c r="G9" s="31"/>
    </row>
    <row r="10">
      <c r="A10" s="31"/>
      <c r="B10" s="31"/>
      <c r="C10" s="31"/>
      <c r="D10" s="31"/>
      <c r="E10" s="31"/>
      <c r="F10" s="31"/>
      <c r="G10" s="31"/>
    </row>
    <row r="11">
      <c r="A11" s="31"/>
      <c r="B11" s="31"/>
      <c r="C11" s="31"/>
      <c r="D11" s="31"/>
      <c r="E11" s="31"/>
      <c r="F11" s="31"/>
      <c r="G11" s="31"/>
    </row>
    <row r="12">
      <c r="A12" s="31"/>
      <c r="B12" s="31"/>
      <c r="C12" s="31"/>
      <c r="D12" s="31"/>
      <c r="E12" s="31"/>
      <c r="F12" s="31"/>
      <c r="G12" s="31"/>
      <c r="I12" s="31"/>
      <c r="J12" s="31"/>
      <c r="K12" s="31"/>
      <c r="L12" s="31"/>
      <c r="M12" s="31"/>
      <c r="N12" s="31"/>
      <c r="O12" s="31"/>
      <c r="P12" s="31"/>
      <c r="Q12" s="31"/>
      <c r="R12" s="31"/>
    </row>
    <row r="13">
      <c r="A13" s="31"/>
      <c r="B13" s="31"/>
      <c r="C13" s="31"/>
      <c r="D13" s="31"/>
      <c r="E13" s="31"/>
      <c r="F13" s="31"/>
      <c r="G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>
      <c r="A14" s="31"/>
      <c r="B14" s="31"/>
      <c r="C14" s="31"/>
      <c r="D14" s="31"/>
      <c r="E14" s="31"/>
      <c r="F14" s="31"/>
      <c r="G14" s="31"/>
      <c r="I14" s="31"/>
      <c r="J14" s="31"/>
      <c r="K14" s="31"/>
      <c r="L14" s="31"/>
      <c r="M14" s="31"/>
      <c r="N14" s="31"/>
      <c r="O14" s="31"/>
      <c r="P14" s="31"/>
      <c r="Q14" s="31"/>
      <c r="R14" s="31"/>
    </row>
    <row r="15">
      <c r="A15" s="31"/>
      <c r="B15" s="31"/>
      <c r="C15" s="31"/>
      <c r="D15" s="31"/>
      <c r="E15" s="31"/>
      <c r="F15" s="31"/>
      <c r="G15" s="31"/>
    </row>
    <row r="16">
      <c r="A16" s="31"/>
      <c r="B16" s="31"/>
      <c r="C16" s="31"/>
      <c r="D16" s="31"/>
      <c r="E16" s="31"/>
      <c r="F16" s="31"/>
      <c r="G16" s="31"/>
    </row>
    <row r="17">
      <c r="A17" s="31"/>
      <c r="B17" s="31"/>
      <c r="C17" s="31"/>
      <c r="D17" s="31"/>
      <c r="E17" s="31"/>
      <c r="F17" s="31"/>
      <c r="G17" s="31"/>
    </row>
    <row r="18">
      <c r="A18" s="31"/>
      <c r="B18" s="31"/>
      <c r="C18" s="31"/>
      <c r="D18" s="31"/>
      <c r="E18" s="31"/>
      <c r="F18" s="31"/>
      <c r="G18" s="31"/>
    </row>
    <row r="19">
      <c r="A19" s="31"/>
      <c r="B19" s="31"/>
      <c r="C19" s="31"/>
      <c r="D19" s="31"/>
      <c r="E19" s="31"/>
      <c r="F19" s="31"/>
      <c r="G19" s="31"/>
    </row>
    <row r="20">
      <c r="A20" s="31"/>
      <c r="B20" s="31"/>
      <c r="C20" s="31"/>
      <c r="D20" s="31"/>
      <c r="E20" s="31"/>
      <c r="F20" s="31"/>
      <c r="G20" s="31"/>
    </row>
    <row r="21">
      <c r="A21" s="31"/>
      <c r="B21" s="31"/>
      <c r="C21" s="31"/>
      <c r="D21" s="31"/>
      <c r="E21" s="31"/>
      <c r="F21" s="31"/>
      <c r="G21" s="31"/>
    </row>
    <row r="22">
      <c r="A22" s="31"/>
      <c r="B22" s="31"/>
      <c r="C22" s="31"/>
      <c r="D22" s="31"/>
      <c r="E22" s="31"/>
      <c r="F22" s="31"/>
      <c r="G22" s="31"/>
    </row>
    <row r="23">
      <c r="A23" s="31"/>
      <c r="B23" s="31"/>
      <c r="C23" s="31"/>
      <c r="D23" s="31"/>
      <c r="E23" s="31"/>
      <c r="F23" s="31"/>
      <c r="G23" s="31"/>
    </row>
    <row r="24">
      <c r="A24" s="31"/>
      <c r="B24" s="31"/>
      <c r="C24" s="31"/>
      <c r="D24" s="31"/>
      <c r="E24" s="31"/>
      <c r="F24" s="31"/>
      <c r="G24" s="31"/>
    </row>
    <row r="25">
      <c r="A25" s="31"/>
      <c r="B25" s="31"/>
      <c r="C25" s="31"/>
      <c r="D25" s="31"/>
      <c r="E25" s="31"/>
      <c r="F25" s="31"/>
      <c r="G25" s="31"/>
    </row>
    <row r="26">
      <c r="A26" s="31"/>
      <c r="B26" s="31"/>
      <c r="C26" s="31"/>
      <c r="D26" s="31"/>
      <c r="E26" s="31"/>
      <c r="F26" s="31"/>
      <c r="G26" s="31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1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1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118" ht="22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L118" s="133" t="s">
        <v>291</v>
      </c>
      <c r="M118" s="133" t="s">
        <v>292</v>
      </c>
      <c r="N118" s="134" t="s">
        <v>293</v>
      </c>
      <c r="O118" s="135" t="s">
        <v>9</v>
      </c>
      <c r="P118" s="134" t="s">
        <v>294</v>
      </c>
      <c r="Q118" s="134" t="s">
        <v>295</v>
      </c>
      <c r="R118" s="136" t="s">
        <v>296</v>
      </c>
    </row>
    <row r="119" ht="22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L119" s="137">
        <v>0.0</v>
      </c>
      <c r="M119" s="137">
        <v>0.0</v>
      </c>
      <c r="N119" s="138">
        <v>0.0</v>
      </c>
      <c r="O119" s="138">
        <v>0.0</v>
      </c>
      <c r="P119" s="139">
        <v>0.0</v>
      </c>
      <c r="Q119" s="139">
        <v>0.0</v>
      </c>
      <c r="R119" s="139">
        <v>0.0</v>
      </c>
    </row>
    <row r="120" ht="22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L120" s="137">
        <v>5.0</v>
      </c>
      <c r="M120" s="137">
        <v>0.0</v>
      </c>
      <c r="N120" s="138">
        <v>8.0</v>
      </c>
      <c r="O120" s="138">
        <v>7.0</v>
      </c>
      <c r="P120" s="140">
        <v>0.583</v>
      </c>
      <c r="Q120" s="140">
        <v>0.875</v>
      </c>
      <c r="R120" s="140">
        <v>0.875</v>
      </c>
    </row>
    <row r="121" ht="22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L121" s="137">
        <v>3.0</v>
      </c>
      <c r="M121" s="137">
        <v>0.0</v>
      </c>
      <c r="N121" s="138">
        <v>7.0</v>
      </c>
      <c r="O121" s="138">
        <v>2.0</v>
      </c>
      <c r="P121" s="140">
        <v>0.2</v>
      </c>
      <c r="Q121" s="140">
        <v>0.286</v>
      </c>
      <c r="R121" s="140">
        <v>0.286</v>
      </c>
    </row>
    <row r="122" ht="22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L122" s="137">
        <v>0.0</v>
      </c>
      <c r="M122" s="137">
        <v>3.0</v>
      </c>
      <c r="N122" s="138">
        <v>3.0</v>
      </c>
      <c r="O122" s="138">
        <v>0.0</v>
      </c>
      <c r="P122" s="140">
        <v>0.0</v>
      </c>
      <c r="Q122" s="140">
        <v>0.0</v>
      </c>
      <c r="R122" s="139">
        <v>0.0</v>
      </c>
    </row>
    <row r="123" ht="22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L123" s="137">
        <v>0.0</v>
      </c>
      <c r="M123" s="137">
        <v>0.0</v>
      </c>
      <c r="N123" s="138">
        <v>0.0</v>
      </c>
      <c r="O123" s="138">
        <v>0.0</v>
      </c>
      <c r="P123" s="139">
        <v>0.0</v>
      </c>
      <c r="Q123" s="139">
        <v>0.0</v>
      </c>
      <c r="R123" s="139">
        <v>0.0</v>
      </c>
    </row>
    <row r="124" ht="22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L124" s="141">
        <v>0.0</v>
      </c>
      <c r="M124" s="141">
        <v>0.0</v>
      </c>
      <c r="N124" s="142">
        <v>0.0</v>
      </c>
      <c r="O124" s="142">
        <v>0.0</v>
      </c>
      <c r="P124" s="139">
        <v>0.0</v>
      </c>
      <c r="Q124" s="139">
        <v>0.0</v>
      </c>
      <c r="R124" s="139">
        <v>0.0</v>
      </c>
    </row>
    <row r="125" ht="22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L125" s="141">
        <v>0.0</v>
      </c>
      <c r="M125" s="141">
        <v>0.0</v>
      </c>
      <c r="N125" s="142">
        <v>0.0</v>
      </c>
      <c r="O125" s="142">
        <v>0.0</v>
      </c>
      <c r="P125" s="139">
        <v>0.0</v>
      </c>
      <c r="Q125" s="139">
        <v>0.0</v>
      </c>
      <c r="R125" s="139">
        <v>0.0</v>
      </c>
    </row>
    <row r="126" ht="22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L126" s="137">
        <v>3.0</v>
      </c>
      <c r="M126" s="137">
        <v>0.0</v>
      </c>
      <c r="N126" s="138">
        <v>3.0</v>
      </c>
      <c r="O126" s="138">
        <v>2.0</v>
      </c>
      <c r="P126" s="140">
        <v>0.333</v>
      </c>
      <c r="Q126" s="140">
        <v>0.667</v>
      </c>
      <c r="R126" s="140">
        <v>0.667</v>
      </c>
    </row>
    <row r="127" ht="22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L127" s="137">
        <v>3.0</v>
      </c>
      <c r="M127" s="137">
        <v>0.0</v>
      </c>
      <c r="N127" s="138">
        <v>6.0</v>
      </c>
      <c r="O127" s="138">
        <v>2.0</v>
      </c>
      <c r="P127" s="140">
        <v>0.222</v>
      </c>
      <c r="Q127" s="140">
        <v>0.333</v>
      </c>
      <c r="R127" s="140">
        <v>0.333</v>
      </c>
    </row>
    <row r="128" ht="22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L128" s="137">
        <v>1.0</v>
      </c>
      <c r="M128" s="137">
        <v>0.0</v>
      </c>
      <c r="N128" s="138">
        <v>2.0</v>
      </c>
      <c r="O128" s="138">
        <v>1.0</v>
      </c>
      <c r="P128" s="140">
        <v>0.333</v>
      </c>
      <c r="Q128" s="140">
        <v>0.5</v>
      </c>
      <c r="R128" s="140">
        <v>0.5</v>
      </c>
    </row>
    <row r="129" ht="22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L129" s="137">
        <v>0.0</v>
      </c>
      <c r="M129" s="137">
        <v>0.0</v>
      </c>
      <c r="N129" s="138">
        <v>2.0</v>
      </c>
      <c r="O129" s="138">
        <v>0.0</v>
      </c>
      <c r="P129" s="140">
        <v>0.0</v>
      </c>
      <c r="Q129" s="140">
        <v>0.0</v>
      </c>
      <c r="R129" s="140">
        <v>0.0</v>
      </c>
    </row>
    <row r="130" ht="22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L130" s="137">
        <v>0.0</v>
      </c>
      <c r="M130" s="137">
        <v>0.0</v>
      </c>
      <c r="N130" s="138">
        <v>1.0</v>
      </c>
      <c r="O130" s="138">
        <v>0.0</v>
      </c>
      <c r="P130" s="140">
        <v>0.0</v>
      </c>
      <c r="Q130" s="140">
        <v>0.0</v>
      </c>
      <c r="R130" s="140">
        <v>0.0</v>
      </c>
    </row>
    <row r="131" ht="22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L131" s="137">
        <v>1.0</v>
      </c>
      <c r="M131" s="137">
        <v>0.0</v>
      </c>
      <c r="N131" s="138">
        <v>4.0</v>
      </c>
      <c r="O131" s="138">
        <v>0.0</v>
      </c>
      <c r="P131" s="140">
        <v>0.0</v>
      </c>
      <c r="Q131" s="140">
        <v>0.0</v>
      </c>
      <c r="R131" s="140">
        <v>0.0</v>
      </c>
    </row>
    <row r="132" ht="22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L132" s="137">
        <v>0.0</v>
      </c>
      <c r="M132" s="137">
        <v>3.0</v>
      </c>
      <c r="N132" s="138">
        <v>3.0</v>
      </c>
      <c r="O132" s="138">
        <v>0.0</v>
      </c>
      <c r="P132" s="140">
        <v>0.0</v>
      </c>
      <c r="Q132" s="140">
        <v>0.0</v>
      </c>
      <c r="R132" s="140">
        <v>0.0</v>
      </c>
    </row>
    <row r="133" ht="22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L133" s="141">
        <v>0.0</v>
      </c>
      <c r="M133" s="137">
        <v>13.0</v>
      </c>
      <c r="N133" s="138">
        <v>13.0</v>
      </c>
      <c r="O133" s="138">
        <v>2.0</v>
      </c>
      <c r="P133" s="140">
        <v>0.154</v>
      </c>
      <c r="Q133" s="140">
        <v>0.154</v>
      </c>
      <c r="R133" s="139">
        <v>0.0</v>
      </c>
    </row>
    <row r="134" ht="22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L134" s="141"/>
      <c r="N134" s="138">
        <f>SUM(N120:N132)</f>
        <v>39</v>
      </c>
      <c r="O134" s="143">
        <f>SUM(O118:O133)</f>
        <v>16</v>
      </c>
      <c r="P134" s="140">
        <f t="shared" ref="P134:R134" si="1">AVERAGE(P119:P133)</f>
        <v>0.1216666667</v>
      </c>
      <c r="Q134" s="140">
        <f t="shared" si="1"/>
        <v>0.1876666667</v>
      </c>
      <c r="R134" s="140">
        <f t="shared" si="1"/>
        <v>0.1774</v>
      </c>
    </row>
  </sheetData>
  <dataValidations>
    <dataValidation type="custom" allowBlank="1" showDropDown="1" sqref="L2:O4 P119:R134">
      <formula1>AND(ISNUMBER(L2),(NOT(OR(NOT(ISERROR(DATEVALUE(L2))), AND(ISNUMBER(L2), LEFT(CELL("format", L2))="D")))))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4" t="s">
        <v>0</v>
      </c>
      <c r="B1" s="144" t="s">
        <v>297</v>
      </c>
      <c r="C1" s="144" t="s">
        <v>298</v>
      </c>
      <c r="D1" s="144" t="s">
        <v>1</v>
      </c>
      <c r="E1" s="144" t="s">
        <v>141</v>
      </c>
      <c r="F1" s="144" t="s">
        <v>299</v>
      </c>
      <c r="G1" s="144" t="s">
        <v>300</v>
      </c>
    </row>
    <row r="2">
      <c r="A2" s="145" t="s">
        <v>58</v>
      </c>
      <c r="B2" s="146">
        <v>46148.0</v>
      </c>
      <c r="C2" s="147" t="s">
        <v>301</v>
      </c>
      <c r="D2" s="148" t="s">
        <v>31</v>
      </c>
      <c r="E2" s="145" t="s">
        <v>302</v>
      </c>
      <c r="F2" s="145"/>
      <c r="G2" s="146">
        <v>46148.29027777778</v>
      </c>
    </row>
    <row r="3">
      <c r="A3" s="145" t="s">
        <v>58</v>
      </c>
      <c r="B3" s="146">
        <v>46149.0</v>
      </c>
      <c r="C3" s="147" t="s">
        <v>303</v>
      </c>
      <c r="D3" s="148" t="s">
        <v>31</v>
      </c>
      <c r="E3" s="145" t="s">
        <v>304</v>
      </c>
      <c r="F3" s="145"/>
      <c r="G3" s="146">
        <v>46149.490277777775</v>
      </c>
    </row>
    <row r="4">
      <c r="A4" s="145" t="s">
        <v>58</v>
      </c>
      <c r="B4" s="146">
        <v>46150.0</v>
      </c>
      <c r="C4" s="147" t="s">
        <v>301</v>
      </c>
      <c r="D4" s="148" t="s">
        <v>31</v>
      </c>
      <c r="E4" s="145" t="s">
        <v>305</v>
      </c>
      <c r="F4" s="145"/>
      <c r="G4" s="146">
        <v>46150.290972222225</v>
      </c>
    </row>
    <row r="5">
      <c r="A5" s="145" t="s">
        <v>58</v>
      </c>
      <c r="B5" s="146">
        <v>46150.0</v>
      </c>
      <c r="C5" s="147" t="s">
        <v>306</v>
      </c>
      <c r="D5" s="148" t="s">
        <v>31</v>
      </c>
      <c r="E5" s="145" t="s">
        <v>213</v>
      </c>
      <c r="F5" s="145"/>
      <c r="G5" s="146">
        <v>46150.333333333336</v>
      </c>
    </row>
    <row r="6">
      <c r="A6" s="145" t="s">
        <v>58</v>
      </c>
      <c r="B6" s="146">
        <v>46150.0</v>
      </c>
      <c r="C6" s="147" t="s">
        <v>307</v>
      </c>
      <c r="D6" s="148" t="s">
        <v>31</v>
      </c>
      <c r="E6" s="145" t="s">
        <v>200</v>
      </c>
      <c r="F6" s="145"/>
      <c r="G6" s="146">
        <v>46150.416666666664</v>
      </c>
    </row>
    <row r="7">
      <c r="A7" s="149" t="s">
        <v>65</v>
      </c>
      <c r="B7" s="150">
        <v>46153.0</v>
      </c>
      <c r="C7" s="151" t="s">
        <v>301</v>
      </c>
      <c r="D7" s="152" t="s">
        <v>31</v>
      </c>
      <c r="E7" s="149" t="s">
        <v>308</v>
      </c>
      <c r="F7" s="149" t="s">
        <v>309</v>
      </c>
      <c r="G7" s="150"/>
    </row>
    <row r="8">
      <c r="A8" s="149" t="s">
        <v>65</v>
      </c>
      <c r="B8" s="150">
        <v>46153.0</v>
      </c>
      <c r="C8" s="151" t="s">
        <v>310</v>
      </c>
      <c r="D8" s="152" t="s">
        <v>31</v>
      </c>
      <c r="E8" s="149" t="s">
        <v>311</v>
      </c>
      <c r="F8" s="149"/>
      <c r="G8" s="150">
        <v>46153.58541666667</v>
      </c>
    </row>
    <row r="9">
      <c r="A9" s="149" t="s">
        <v>65</v>
      </c>
      <c r="B9" s="150">
        <v>46154.0</v>
      </c>
      <c r="C9" s="151" t="s">
        <v>312</v>
      </c>
      <c r="D9" s="152" t="s">
        <v>31</v>
      </c>
      <c r="E9" s="149" t="s">
        <v>313</v>
      </c>
      <c r="F9" s="149"/>
      <c r="G9" s="150">
        <v>46154.43958333333</v>
      </c>
    </row>
    <row r="10">
      <c r="A10" s="149" t="s">
        <v>65</v>
      </c>
      <c r="B10" s="150">
        <v>46156.0</v>
      </c>
      <c r="C10" s="151" t="s">
        <v>314</v>
      </c>
      <c r="D10" s="152" t="s">
        <v>31</v>
      </c>
      <c r="E10" s="149" t="s">
        <v>315</v>
      </c>
      <c r="F10" s="149"/>
      <c r="G10" s="150">
        <v>46156.540972222225</v>
      </c>
    </row>
    <row r="11">
      <c r="A11" s="149" t="s">
        <v>65</v>
      </c>
      <c r="B11" s="150">
        <v>46157.0</v>
      </c>
      <c r="C11" s="151" t="s">
        <v>316</v>
      </c>
      <c r="D11" s="152" t="s">
        <v>31</v>
      </c>
      <c r="E11" s="149" t="s">
        <v>317</v>
      </c>
      <c r="F11" s="149"/>
      <c r="G11" s="150">
        <v>46157.31319444445</v>
      </c>
    </row>
    <row r="12">
      <c r="A12" s="149" t="s">
        <v>65</v>
      </c>
      <c r="B12" s="150">
        <v>46157.0</v>
      </c>
      <c r="C12" s="151" t="s">
        <v>306</v>
      </c>
      <c r="D12" s="152" t="s">
        <v>31</v>
      </c>
      <c r="E12" s="149" t="s">
        <v>318</v>
      </c>
      <c r="F12" s="149"/>
      <c r="G12" s="150">
        <v>46157.33125</v>
      </c>
    </row>
    <row r="13">
      <c r="A13" s="149" t="s">
        <v>65</v>
      </c>
      <c r="B13" s="150">
        <v>46157.0</v>
      </c>
      <c r="C13" s="151" t="s">
        <v>319</v>
      </c>
      <c r="D13" s="152" t="s">
        <v>31</v>
      </c>
      <c r="E13" s="149" t="s">
        <v>320</v>
      </c>
      <c r="F13" s="149"/>
      <c r="G13" s="150">
        <v>46157.46597222222</v>
      </c>
    </row>
    <row r="14">
      <c r="A14" s="149" t="s">
        <v>65</v>
      </c>
      <c r="B14" s="150">
        <v>46158.0</v>
      </c>
      <c r="C14" s="151" t="s">
        <v>321</v>
      </c>
      <c r="D14" s="152" t="s">
        <v>31</v>
      </c>
      <c r="E14" s="149" t="s">
        <v>322</v>
      </c>
      <c r="F14" s="149"/>
      <c r="G14" s="150">
        <v>46158.55902777778</v>
      </c>
    </row>
  </sheetData>
  <dataValidations>
    <dataValidation type="custom" allowBlank="1" showDropDown="1" sqref="B2:B14 G2:G14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4" t="s">
        <v>0</v>
      </c>
      <c r="B1" s="144" t="s">
        <v>140</v>
      </c>
      <c r="C1" s="144" t="s">
        <v>1</v>
      </c>
      <c r="D1" s="144" t="s">
        <v>141</v>
      </c>
      <c r="E1" s="144" t="s">
        <v>323</v>
      </c>
      <c r="F1" s="144" t="s">
        <v>142</v>
      </c>
      <c r="G1" s="144" t="s">
        <v>15</v>
      </c>
      <c r="H1" s="144" t="s">
        <v>148</v>
      </c>
      <c r="I1" s="144" t="s">
        <v>147</v>
      </c>
      <c r="J1" s="144" t="s">
        <v>146</v>
      </c>
    </row>
    <row r="2">
      <c r="A2" s="153" t="s">
        <v>58</v>
      </c>
      <c r="B2" s="154">
        <v>46150.0</v>
      </c>
      <c r="C2" s="153" t="s">
        <v>31</v>
      </c>
      <c r="D2" s="153" t="s">
        <v>200</v>
      </c>
      <c r="E2" s="153" t="s">
        <v>200</v>
      </c>
      <c r="F2" s="153" t="s">
        <v>151</v>
      </c>
      <c r="G2" s="153" t="s">
        <v>168</v>
      </c>
      <c r="H2" s="155">
        <v>0.0</v>
      </c>
      <c r="I2" s="155">
        <v>197.0</v>
      </c>
      <c r="J2" s="153" t="s">
        <v>170</v>
      </c>
    </row>
    <row r="3">
      <c r="A3" s="153" t="s">
        <v>58</v>
      </c>
      <c r="B3" s="154">
        <v>46149.0</v>
      </c>
      <c r="C3" s="153" t="s">
        <v>31</v>
      </c>
      <c r="D3" s="153" t="s">
        <v>213</v>
      </c>
      <c r="E3" s="153" t="s">
        <v>213</v>
      </c>
      <c r="F3" s="153" t="s">
        <v>214</v>
      </c>
      <c r="G3" s="153" t="s">
        <v>215</v>
      </c>
      <c r="H3" s="155">
        <v>299.0</v>
      </c>
      <c r="I3" s="155">
        <v>299.0</v>
      </c>
      <c r="J3" s="153" t="s">
        <v>155</v>
      </c>
    </row>
  </sheetData>
  <dataValidations>
    <dataValidation type="custom" allowBlank="1" showDropDown="1" sqref="B2:B3">
      <formula1>OR(NOT(ISERROR(DATEVALUE(B2))), AND(ISNUMBER(B2), LEFT(CELL("format", B2))="D"))</formula1>
    </dataValidation>
    <dataValidation type="custom" allowBlank="1" showDropDown="1" sqref="H2:I3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